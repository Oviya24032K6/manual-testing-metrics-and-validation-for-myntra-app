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8_{C5BD0869-6AAB-435F-800E-DDF5BB8803F8}" xr6:coauthVersionLast="47" xr6:coauthVersionMax="47" xr10:uidLastSave="{00000000-0000-0000-0000-000000000000}"/>
  <bookViews>
    <workbookView xWindow="-110" yWindow="-110" windowWidth="19420" windowHeight="11020" tabRatio="500" firstSheet="2" activeTab="5" xr2:uid="{00000000-000D-0000-FFFF-FFFF00000000}"/>
  </bookViews>
  <sheets>
    <sheet name="Project Overview" sheetId="1" r:id="rId1"/>
    <sheet name="Test Cases" sheetId="2" r:id="rId2"/>
    <sheet name="Defect Log" sheetId="3" r:id="rId3"/>
    <sheet name="Test Metrics" sheetId="4" r:id="rId4"/>
    <sheet name="Feature-wise Analysis" sheetId="5" r:id="rId5"/>
    <sheet name="Dashboard" sheetId="6" r:id="rId6"/>
    <sheet name="Analysis Process &amp; Gui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5" i="6" l="1"/>
  <c r="G12" i="5"/>
  <c r="E12" i="5"/>
  <c r="D12" i="5"/>
  <c r="C12" i="5"/>
  <c r="F12" i="5" s="1"/>
  <c r="B12" i="5"/>
  <c r="G11" i="5"/>
  <c r="E11" i="5"/>
  <c r="D11" i="5"/>
  <c r="C11" i="5"/>
  <c r="F11" i="5" s="1"/>
  <c r="B11" i="5"/>
  <c r="E10" i="5"/>
  <c r="D10" i="5"/>
  <c r="G10" i="5" s="1"/>
  <c r="C10" i="5"/>
  <c r="F10" i="5" s="1"/>
  <c r="B10" i="5"/>
  <c r="G9" i="5"/>
  <c r="E9" i="5"/>
  <c r="D9" i="5"/>
  <c r="C9" i="5"/>
  <c r="F9" i="5" s="1"/>
  <c r="B9" i="5"/>
  <c r="G8" i="5"/>
  <c r="E8" i="5"/>
  <c r="D8" i="5"/>
  <c r="C8" i="5"/>
  <c r="F8" i="5" s="1"/>
  <c r="B8" i="5"/>
  <c r="G7" i="5"/>
  <c r="E7" i="5"/>
  <c r="D7" i="5"/>
  <c r="C7" i="5"/>
  <c r="F7" i="5" s="1"/>
  <c r="B7" i="5"/>
  <c r="E6" i="5"/>
  <c r="D6" i="5"/>
  <c r="G6" i="5" s="1"/>
  <c r="C6" i="5"/>
  <c r="F6" i="5" s="1"/>
  <c r="B6" i="5"/>
  <c r="G5" i="5"/>
  <c r="E5" i="5"/>
  <c r="D5" i="5"/>
  <c r="D13" i="5" s="1"/>
  <c r="C5" i="5"/>
  <c r="F5" i="5" s="1"/>
  <c r="B5" i="5"/>
  <c r="B13" i="5" s="1"/>
  <c r="G4" i="5"/>
  <c r="E4" i="5"/>
  <c r="D4" i="5"/>
  <c r="C4" i="5"/>
  <c r="F4" i="5" s="1"/>
  <c r="B4" i="5"/>
  <c r="G3" i="5"/>
  <c r="E3" i="5"/>
  <c r="E13" i="5" s="1"/>
  <c r="D3" i="5"/>
  <c r="C3" i="5"/>
  <c r="C13" i="5" s="1"/>
  <c r="F13" i="5" s="1"/>
  <c r="B3" i="5"/>
  <c r="D41" i="4"/>
  <c r="D40" i="4"/>
  <c r="D27" i="4"/>
  <c r="B16" i="6" s="1"/>
  <c r="D26" i="4"/>
  <c r="D25" i="4"/>
  <c r="B14" i="6" s="1"/>
  <c r="D24" i="4"/>
  <c r="B13" i="6" s="1"/>
  <c r="D22" i="4"/>
  <c r="D23" i="4" s="1"/>
  <c r="K4" i="6" s="1"/>
  <c r="D21" i="4"/>
  <c r="I4" i="6" s="1"/>
  <c r="D20" i="4"/>
  <c r="G4" i="6" s="1"/>
  <c r="D16" i="4"/>
  <c r="D17" i="4" s="1"/>
  <c r="D12" i="4"/>
  <c r="E4" i="6" s="1"/>
  <c r="D8" i="4"/>
  <c r="B10" i="6" s="1"/>
  <c r="D7" i="4"/>
  <c r="B9" i="6" s="1"/>
  <c r="D6" i="4"/>
  <c r="D11" i="4" s="1"/>
  <c r="C4" i="6" s="1"/>
  <c r="D5" i="4"/>
  <c r="D10" i="4" s="1"/>
  <c r="D4" i="4"/>
  <c r="A4" i="6" s="1"/>
  <c r="D30" i="4" l="1"/>
  <c r="B8" i="6"/>
  <c r="D28" i="4"/>
  <c r="F3" i="5"/>
  <c r="D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300-000001000000}">
      <text>
        <r>
          <rPr>
            <sz val="10"/>
            <rFont val="Arial"/>
            <family val="2"/>
          </rPr>
          <t>Assumption/input cell: the 10 in-scope features listed on the Project Overview sheet (Home Page, Search, Categories, Filters &amp; Sorting, Product Details, Wishlist, My Profile, Shopping Bag, Address, Checkout). Edit this if your requirement count differs.</t>
        </r>
      </text>
    </comment>
    <comment ref="D29" authorId="0" shapeId="0" xr:uid="{00000000-0006-0000-0300-000002000000}">
      <text>
        <r>
          <rPr>
            <sz val="10"/>
            <rFont val="Arial"/>
            <family val="2"/>
          </rPr>
          <t>Assumption/input cell: source code is not available for a black-box manual testing exercise, so a placeholder module size of 5,000 lines of code (5 KLOC) is used to illustrate the Defect Density formula. Replace with the real KLOC figure if known.</t>
        </r>
      </text>
    </comment>
  </commentList>
</comments>
</file>

<file path=xl/sharedStrings.xml><?xml version="1.0" encoding="utf-8"?>
<sst xmlns="http://schemas.openxmlformats.org/spreadsheetml/2006/main" count="554" uniqueCount="349">
  <si>
    <t>MYNTRA E-COMMERCE APPLICATION — MANUAL TESTING DOCUMENTATION</t>
  </si>
  <si>
    <t>Project Details</t>
  </si>
  <si>
    <t>Project Name</t>
  </si>
  <si>
    <t>Myntra E-Commerce Application Testing</t>
  </si>
  <si>
    <t>Application Name</t>
  </si>
  <si>
    <t>Myntra</t>
  </si>
  <si>
    <t>Application Type</t>
  </si>
  <si>
    <t>E-Commerce / Online Fashion Shopping Application</t>
  </si>
  <si>
    <t>Testing Type</t>
  </si>
  <si>
    <t>Manual Testing</t>
  </si>
  <si>
    <t>Testing Approach</t>
  </si>
  <si>
    <t>Functional Testing</t>
  </si>
  <si>
    <t>Prepared By</t>
  </si>
  <si>
    <t>Oviya P</t>
  </si>
  <si>
    <t>Role</t>
  </si>
  <si>
    <t>Manual Tester</t>
  </si>
  <si>
    <t>Testing Scope</t>
  </si>
  <si>
    <t>Functional testing of major application features, identification and reporting of defects, test metrics, and test analytics.</t>
  </si>
  <si>
    <t>Document Version</t>
  </si>
  <si>
    <t>1.0</t>
  </si>
  <si>
    <t>1. Application Overview</t>
  </si>
  <si>
    <t>Myntra is an e-commerce application that allows users to search for and purchase clothing, footwear, accessories, beauty products, skin care, self-care products, and other lifestyle items. The application provides features such as product browsing, search, filtering, wishlist, cart/bag management, and checkout.</t>
  </si>
  <si>
    <t>2. Testing Objectives</t>
  </si>
  <si>
    <t>•  To verify that the major features of the Myntra application work as expected.</t>
  </si>
  <si>
    <t>•  To identify functional defects and unexpected behaviour.</t>
  </si>
  <si>
    <t>•  To verify that the application meets the expected requirements.</t>
  </si>
  <si>
    <t>•  To create and execute test cases for the selected features.</t>
  </si>
  <si>
    <t>•  To record and report identified defects with appropriate severity and priority.</t>
  </si>
  <si>
    <t>•  To measure testing results using test metrics such as test coverage, pass rate, fail rate, and defect count.</t>
  </si>
  <si>
    <t>•  To analyze the test results and identify areas that require further testing or improvement.</t>
  </si>
  <si>
    <t>3. Scope of Testing</t>
  </si>
  <si>
    <t>The scope of this project is to manually test the major functional features of the Myntra application and verify whether they work as expected.</t>
  </si>
  <si>
    <t>In Scope ✅</t>
  </si>
  <si>
    <t>Out of Scope ❌</t>
  </si>
  <si>
    <t>•  Home page functionality</t>
  </si>
  <si>
    <t>•  Back-end / server-side testing</t>
  </si>
  <si>
    <t>•  Product search</t>
  </si>
  <si>
    <t>•  Source code testing</t>
  </si>
  <si>
    <t>•  Product categories (Men / Women / Kids)</t>
  </si>
  <si>
    <t>•  Third-party payment gateway internal functionality</t>
  </si>
  <si>
    <t>•  Filters and sorting</t>
  </si>
  <si>
    <t>•  Security testing</t>
  </si>
  <si>
    <t>•  Product details</t>
  </si>
  <si>
    <t>•  Performance / load testing</t>
  </si>
  <si>
    <t>•  Wishlist functionality</t>
  </si>
  <si>
    <t>•  My profile</t>
  </si>
  <si>
    <t>•  Shopping bag / cart functionality</t>
  </si>
  <si>
    <t>•  Address functionality</t>
  </si>
  <si>
    <t>•  Checkout functionality</t>
  </si>
  <si>
    <t>MYNTRA — FUNCTIONAL TEST CASES</t>
  </si>
  <si>
    <t>TC ID</t>
  </si>
  <si>
    <t>Feature</t>
  </si>
  <si>
    <t>Test Scenario</t>
  </si>
  <si>
    <t>Test Steps</t>
  </si>
  <si>
    <t>Test Data</t>
  </si>
  <si>
    <t>Expected Result</t>
  </si>
  <si>
    <t>Actual Result</t>
  </si>
  <si>
    <t>Status</t>
  </si>
  <si>
    <t>Severity</t>
  </si>
  <si>
    <t>Priority</t>
  </si>
  <si>
    <t>Executed By</t>
  </si>
  <si>
    <t>Execution Date</t>
  </si>
  <si>
    <t>TC-001</t>
  </si>
  <si>
    <t>Home Page</t>
  </si>
  <si>
    <t>Verify homepage loads successfully</t>
  </si>
  <si>
    <t>1. Launch the Myntra app/website
2. Observe the homepage load</t>
  </si>
  <si>
    <t>N/A</t>
  </si>
  <si>
    <t>Homepage loads within acceptable time with banners, categories and navigation visible</t>
  </si>
  <si>
    <t>Homepage loaded successfully with all sections visible</t>
  </si>
  <si>
    <t>Pass</t>
  </si>
  <si>
    <t>Low</t>
  </si>
  <si>
    <t>High</t>
  </si>
  <si>
    <t>TC-002</t>
  </si>
  <si>
    <t>Verify banner/carousel displays correctly</t>
  </si>
  <si>
    <t>1. Open homepage
2. Observe banner carousel
3. Wait for auto-scroll</t>
  </si>
  <si>
    <t>Banner images auto-scroll and are clickable, redirecting to correct offer/category page</t>
  </si>
  <si>
    <t>Banner carousel displayed and auto-scrolled correctly; links worked</t>
  </si>
  <si>
    <t>Medium</t>
  </si>
  <si>
    <t>TC-003</t>
  </si>
  <si>
    <t>Verify navigation menu links work</t>
  </si>
  <si>
    <t>1. Open homepage
2. Click each top navigation link (Men/Women/Kids/Home &amp; Living)</t>
  </si>
  <si>
    <t>Each link navigates to the corresponding category page</t>
  </si>
  <si>
    <t>All navigation links redirected to the correct pages</t>
  </si>
  <si>
    <t>TC-004</t>
  </si>
  <si>
    <t>Search</t>
  </si>
  <si>
    <t>Verify search with valid product name</t>
  </si>
  <si>
    <t>1. Tap search bar
2. Enter a valid product name
3. Tap search icon</t>
  </si>
  <si>
    <t>Search term: 'Shirt'</t>
  </si>
  <si>
    <t>Relevant search results for 'Shirt' are displayed</t>
  </si>
  <si>
    <t>Relevant results for 'Shirt' were displayed correctly</t>
  </si>
  <si>
    <t>TC-005</t>
  </si>
  <si>
    <t>Verify search with invalid/nonexistent product</t>
  </si>
  <si>
    <t>1. Tap search bar
2. Enter a random/invalid product name
3. Tap search icon</t>
  </si>
  <si>
    <t>Search term: 'xxzzqq123'</t>
  </si>
  <si>
    <t>A 'No results found' message is displayed</t>
  </si>
  <si>
    <t>'No results found' message displayed as expected</t>
  </si>
  <si>
    <t>TC-006</t>
  </si>
  <si>
    <t>Verify search autosuggest/suggestions</t>
  </si>
  <si>
    <t>1. Tap search bar
2. Start typing a partial product name</t>
  </si>
  <si>
    <t>Search term: 'Sho'</t>
  </si>
  <si>
    <t>Relevant autosuggest keywords/products appear as user types</t>
  </si>
  <si>
    <t>Autosuggestions appeared for 'Sho' as expected</t>
  </si>
  <si>
    <t>TC-007</t>
  </si>
  <si>
    <t>Verify search with special characters</t>
  </si>
  <si>
    <t>1. Tap search bar
2. Enter special characters
3. Tap search icon</t>
  </si>
  <si>
    <t>Search term: '@@##$$'</t>
  </si>
  <si>
    <t>Application should handle gracefully and show 'No results found' or validation message</t>
  </si>
  <si>
    <t>App crashed / showed blank white screen instead of a proper message</t>
  </si>
  <si>
    <t>Fail</t>
  </si>
  <si>
    <t>TC-008</t>
  </si>
  <si>
    <t>Categories</t>
  </si>
  <si>
    <t>Verify Men category navigation</t>
  </si>
  <si>
    <t>1. Tap 'Men' category from menu
2. Observe listing page</t>
  </si>
  <si>
    <t>Men's category page loads with relevant products and sub-filters</t>
  </si>
  <si>
    <t>Men's category page loaded correctly with products</t>
  </si>
  <si>
    <t>TC-009</t>
  </si>
  <si>
    <t>Verify Women category navigation</t>
  </si>
  <si>
    <t>1. Tap 'Women' category from menu
2. Observe listing page</t>
  </si>
  <si>
    <t>Women's category page loads with relevant products and sub-filters</t>
  </si>
  <si>
    <t>Women's category page loaded correctly with products</t>
  </si>
  <si>
    <t>TC-010</t>
  </si>
  <si>
    <t>Verify Kids category navigation</t>
  </si>
  <si>
    <t>1. Tap 'Kids' category from menu
2. Observe listing page</t>
  </si>
  <si>
    <t>Kids' category page loads with relevant products and sub-filters</t>
  </si>
  <si>
    <t>Kids' category page loaded correctly with products</t>
  </si>
  <si>
    <t>TC-011</t>
  </si>
  <si>
    <t>Filters &amp; Sorting</t>
  </si>
  <si>
    <t>Verify price range filter</t>
  </si>
  <si>
    <t>1. Open any category listing
2. Apply a price range filter</t>
  </si>
  <si>
    <t>Price range: ₹500 - ₹1500</t>
  </si>
  <si>
    <t>Only products within the selected price range are displayed</t>
  </si>
  <si>
    <t>Products displayed were within the selected ₹500-₹1500 range</t>
  </si>
  <si>
    <t>TC-012</t>
  </si>
  <si>
    <t>Verify brand filter</t>
  </si>
  <si>
    <t>1. Open any category listing
2. Select a specific brand from filter panel</t>
  </si>
  <si>
    <t>Brand: 'Roadster'</t>
  </si>
  <si>
    <t>Only products of the selected brand are displayed</t>
  </si>
  <si>
    <t>Only 'Roadster' branded products were displayed</t>
  </si>
  <si>
    <t>TC-013</t>
  </si>
  <si>
    <t>Verify sort by price - Low to High</t>
  </si>
  <si>
    <t>1. Open any category listing
2. Select Sort &gt; Price: Low to High</t>
  </si>
  <si>
    <t>Products are rearranged in ascending order of price</t>
  </si>
  <si>
    <t>Products were not sorted correctly; a few high-price items appeared before lower-price items</t>
  </si>
  <si>
    <t>TC-014</t>
  </si>
  <si>
    <t>Verify sort by popularity</t>
  </si>
  <si>
    <t>1. Open any category listing
2. Select Sort &gt; Popularity</t>
  </si>
  <si>
    <t>Products are rearranged based on popularity ranking</t>
  </si>
  <si>
    <t>Products were correctly rearranged based on popularity</t>
  </si>
  <si>
    <t>TC-015</t>
  </si>
  <si>
    <t>Product Details</t>
  </si>
  <si>
    <t>Verify product image, price and description display</t>
  </si>
  <si>
    <t>1. Tap on any product from listing
2. Observe product detail page</t>
  </si>
  <si>
    <t>Product image, price, description and size chart are displayed correctly</t>
  </si>
  <si>
    <t>All product details displayed correctly</t>
  </si>
  <si>
    <t>TC-016</t>
  </si>
  <si>
    <t>Verify size selection</t>
  </si>
  <si>
    <t>1. Open a product detail page
2. Select a size option</t>
  </si>
  <si>
    <t>Size: 'M'</t>
  </si>
  <si>
    <t>Selected size is highlighted and 'Add to Bag' becomes enabled</t>
  </si>
  <si>
    <t>Size 'M' selected and highlighted correctly; Add to Bag enabled</t>
  </si>
  <si>
    <t>TC-017</t>
  </si>
  <si>
    <t>Verify colour/variant selection</t>
  </si>
  <si>
    <t>1. Open a product detail page
2. Select a different colour variant</t>
  </si>
  <si>
    <t>Colour: 'Blue'</t>
  </si>
  <si>
    <t>Page updates to show selected colour variant images and price</t>
  </si>
  <si>
    <t>Colour variant updated correctly on selection</t>
  </si>
  <si>
    <t>TC-018</t>
  </si>
  <si>
    <t>Wishlist</t>
  </si>
  <si>
    <t>Verify add to wishlist</t>
  </si>
  <si>
    <t>1. Open a product
2. Tap the wishlist (heart) icon</t>
  </si>
  <si>
    <t>Product is added to wishlist and icon changes state</t>
  </si>
  <si>
    <t>Product added to wishlist successfully; icon changed to filled heart</t>
  </si>
  <si>
    <t>TC-019</t>
  </si>
  <si>
    <t>Verify remove from wishlist</t>
  </si>
  <si>
    <t>1. Open wishlist page
2. Tap wishlist icon on an added product to remove it</t>
  </si>
  <si>
    <t>Product is removed from the wishlist list</t>
  </si>
  <si>
    <t>Product removed from wishlist successfully</t>
  </si>
  <si>
    <t>TC-020</t>
  </si>
  <si>
    <t>Verify wishlist persists after login</t>
  </si>
  <si>
    <t>1. Add product to wishlist as guest
2. Login with a registered account
3. Open wishlist</t>
  </si>
  <si>
    <t>Wishlist items persist and are visible after login</t>
  </si>
  <si>
    <t>Wishlist items were retained after login</t>
  </si>
  <si>
    <t>TC-021</t>
  </si>
  <si>
    <t>My Profile</t>
  </si>
  <si>
    <t>Verify profile details display</t>
  </si>
  <si>
    <t>1. Login to account
2. Navigate to 'My Profile'</t>
  </si>
  <si>
    <t>User's name, email and phone number are displayed correctly</t>
  </si>
  <si>
    <t>Profile details displayed correctly</t>
  </si>
  <si>
    <t>TC-022</t>
  </si>
  <si>
    <t>Verify edit profile information</t>
  </si>
  <si>
    <t>1. Open 'My Profile'
2. Edit name/email
3. Save changes</t>
  </si>
  <si>
    <t>Name: 'Test User'</t>
  </si>
  <si>
    <t>Updated details are saved and reflected on profile page</t>
  </si>
  <si>
    <t>Updated profile details saved and displayed correctly</t>
  </si>
  <si>
    <t>TC-023</t>
  </si>
  <si>
    <t>Shopping Bag</t>
  </si>
  <si>
    <t>Verify add product to bag</t>
  </si>
  <si>
    <t>1. Open a product detail page
2. Select size
3. Tap 'Add to Bag'</t>
  </si>
  <si>
    <t>Product is added to the shopping bag with correct size/quantity</t>
  </si>
  <si>
    <t>Product added to bag successfully with correct details</t>
  </si>
  <si>
    <t>TC-024</t>
  </si>
  <si>
    <t>Verify update quantity in bag</t>
  </si>
  <si>
    <t>1. Open shopping bag
2. Increase quantity of an item using the '+' control</t>
  </si>
  <si>
    <t>Qty change: 1 → 2</t>
  </si>
  <si>
    <t>Quantity updates and item total price recalculates correctly</t>
  </si>
  <si>
    <t>Quantity updated to 2, but item total price was not recalculated (still showed price for qty 1)</t>
  </si>
  <si>
    <t>TC-025</t>
  </si>
  <si>
    <t>Verify remove product from bag</t>
  </si>
  <si>
    <t>1. Open shopping bag
2. Tap 'Remove' on an item</t>
  </si>
  <si>
    <t>Item is removed from the bag and bag total updates</t>
  </si>
  <si>
    <t>Item removed successfully and bag total updated correctly</t>
  </si>
  <si>
    <t>TC-026</t>
  </si>
  <si>
    <t>Verify bag total price calculation</t>
  </si>
  <si>
    <t>1. Add multiple products to bag
2. Observe bag summary</t>
  </si>
  <si>
    <t>Bag total equals the sum of all item prices (plus applicable charges)</t>
  </si>
  <si>
    <t>Bag total matched the sum of item prices correctly</t>
  </si>
  <si>
    <t>TC-027</t>
  </si>
  <si>
    <t>Address</t>
  </si>
  <si>
    <t>Verify add new address</t>
  </si>
  <si>
    <t>1. Go to Address section
2. Tap 'Add New Address'
3. Fill details and save</t>
  </si>
  <si>
    <t>Sample address details</t>
  </si>
  <si>
    <t>New address is saved and listed under saved addresses</t>
  </si>
  <si>
    <t>New address saved and displayed in the address list</t>
  </si>
  <si>
    <t>TC-028</t>
  </si>
  <si>
    <t>Verify edit/delete address</t>
  </si>
  <si>
    <t>1. Open saved address
2. Edit a field and save / tap delete</t>
  </si>
  <si>
    <t>Address updates are saved correctly, or address is removed from list on delete</t>
  </si>
  <si>
    <t>Edit and delete operations both worked as expected</t>
  </si>
  <si>
    <t>TC-029</t>
  </si>
  <si>
    <t>Checkout</t>
  </si>
  <si>
    <t>Verify proceed to checkout flow</t>
  </si>
  <si>
    <t>1. Add product to bag
2. Tap 'Proceed to Checkout'</t>
  </si>
  <si>
    <t>User is navigated to address/payment selection screen with order summary</t>
  </si>
  <si>
    <t>Checkout flow navigated correctly to address/payment screen</t>
  </si>
  <si>
    <t>TC-030</t>
  </si>
  <si>
    <t>Verify order summary review</t>
  </si>
  <si>
    <t>1. Reach order summary screen during checkout
2. Review item list, quantity and total</t>
  </si>
  <si>
    <t>Order summary correctly reflects items, quantities, prices and total amount</t>
  </si>
  <si>
    <t>Order summary reflected correct items, quantities and total</t>
  </si>
  <si>
    <t>Note: Results shown above are illustrative sample execution results prepared for this documentation (2 test cases were marked as failed to demonstrate the defect-logging and metrics workflow). Update the Status / Actual Result columns with your real execution results — all metrics, the Feature-wise Analysis and Dashboard sheets recalculate automatically from this sheet.</t>
  </si>
  <si>
    <t>MYNTRA — DEFECT LOG</t>
  </si>
  <si>
    <t>Defect ID</t>
  </si>
  <si>
    <t>Linked TC ID</t>
  </si>
  <si>
    <t>Defect Summary</t>
  </si>
  <si>
    <t>Description</t>
  </si>
  <si>
    <t>Steps to Reproduce</t>
  </si>
  <si>
    <t>Reported By</t>
  </si>
  <si>
    <t>Reported Date</t>
  </si>
  <si>
    <t>Assigned To</t>
  </si>
  <si>
    <t>DEF-001</t>
  </si>
  <si>
    <t>Application shows blank screen instead of validation message for special-character search</t>
  </si>
  <si>
    <t>When a search term consisting only of special characters is entered, the app should show a graceful 'No results found' or validation message. Instead the search results page renders a blank white screen, and the user must navigate back manually.</t>
  </si>
  <si>
    <t>1. Open the Search screen
2. Enter '@@##$$' in the search bar
3. Tap the search icon
4. Observe the results screen</t>
  </si>
  <si>
    <t>Open</t>
  </si>
  <si>
    <t>Dev Team</t>
  </si>
  <si>
    <t>DEF-002</t>
  </si>
  <si>
    <t>Item total price does not recalculate when quantity is updated in the bag</t>
  </si>
  <si>
    <t>When a user increases the quantity of an item in the shopping bag using the '+' control, the quantity field updates correctly but the corresponding item total price is not recalculated, still showing the price for the original quantity. This can mislead the user about the amount payable.</t>
  </si>
  <si>
    <t>1. Add a product to the shopping bag
2. Open the bag
3. Tap '+' to increase quantity from 1 to 2
4. Observe the item's total price</t>
  </si>
  <si>
    <t>Note: These 2 defects were raised against the 2 test cases marked 'Fail' in the Test Cases sheet, as a worked example of the defect-logging process. Add further rows here as real defects are found; the Test Metrics sheet's defect formulas will expand automatically if you keep entries within the referenced range (or extend the range in Test Metrics if you add more rows).</t>
  </si>
  <si>
    <t>MYNTRA — TEST METRICS &amp; ANALYTICS</t>
  </si>
  <si>
    <t>A. Test Execution Metrics</t>
  </si>
  <si>
    <t>Total Test Cases</t>
  </si>
  <si>
    <t>Executed Test Cases</t>
  </si>
  <si>
    <t>Passed</t>
  </si>
  <si>
    <t>Failed</t>
  </si>
  <si>
    <t>Blocked</t>
  </si>
  <si>
    <t>Not Executed</t>
  </si>
  <si>
    <t>Test Execution %  (Executed ÷ Total)</t>
  </si>
  <si>
    <t>Pass Rate  (Passed ÷ Executed)</t>
  </si>
  <si>
    <t>Fail Rate  (Failed ÷ Executed)</t>
  </si>
  <si>
    <t>B. Requirement / Test Coverage</t>
  </si>
  <si>
    <t>Total Requirements (selected features)</t>
  </si>
  <si>
    <t>Requirements Tested (features with ≥1 test case)</t>
  </si>
  <si>
    <t>Requirement / Test Coverage %  (Tested ÷ Total Requirements)</t>
  </si>
  <si>
    <t>C. Defect Metrics</t>
  </si>
  <si>
    <t>Total Defects Logged</t>
  </si>
  <si>
    <t>Open Defects</t>
  </si>
  <si>
    <t>Closed Defects</t>
  </si>
  <si>
    <t>Defect Closure Rate  (Closed ÷ Total Defects)</t>
  </si>
  <si>
    <t>Critical Severity Defects</t>
  </si>
  <si>
    <t>High Severity Defects</t>
  </si>
  <si>
    <t>Medium Severity Defects</t>
  </si>
  <si>
    <t>Low Severity Defects</t>
  </si>
  <si>
    <t>Critical Defect %  (Critical ÷ Total Defects)</t>
  </si>
  <si>
    <t>Estimated Module Size (KLOC)</t>
  </si>
  <si>
    <t>Defect Density  (Total Defects ÷ KLOC)</t>
  </si>
  <si>
    <t>D. Central Tendency — Sample Page Load Times (sec)</t>
  </si>
  <si>
    <t>Recorded loads (sec)</t>
  </si>
  <si>
    <t>Sample values entered in D-column rows below:</t>
  </si>
  <si>
    <t>Load time sample</t>
  </si>
  <si>
    <t>Mean Load Time (sec)  =AVERAGE(samples)</t>
  </si>
  <si>
    <t>Median Load Time (sec)  =MEDIAN(samples)</t>
  </si>
  <si>
    <t>MYNTRA — FEATURE-WISE TEST ANALYSIS</t>
  </si>
  <si>
    <t>Pass Rate</t>
  </si>
  <si>
    <t>TOTAL</t>
  </si>
  <si>
    <t>MYNTRA MANUAL TESTING — DASHBOARD</t>
  </si>
  <si>
    <t>Fail Rate</t>
  </si>
  <si>
    <t>Total Defects</t>
  </si>
  <si>
    <t>Defect Closure Rate</t>
  </si>
  <si>
    <t>Count</t>
  </si>
  <si>
    <t>Critical</t>
  </si>
  <si>
    <t>TESTING ANALYSIS PROCESS &amp; WORKBOOK GUIDE</t>
  </si>
  <si>
    <t>1. End-to-End Testing Analysis Process</t>
  </si>
  <si>
    <t>1. Test Planning</t>
  </si>
  <si>
    <t>Define objectives, in-scope/out-of-scope features, and the requirement list (see Project Overview).</t>
  </si>
  <si>
    <t>2. Test Case Design</t>
  </si>
  <si>
    <t>Write test scenarios, steps, test data and expected results for each in-scope feature (see Test Cases).</t>
  </si>
  <si>
    <t>3. Test Execution</t>
  </si>
  <si>
    <t>Execute each test case, record the Actual Result, and mark Status as Pass / Fail / Blocked.</t>
  </si>
  <si>
    <t>4. Defect Logging</t>
  </si>
  <si>
    <t>For every Fail, raise a defect with steps to reproduce, severity and priority (see Defect Log).</t>
  </si>
  <si>
    <t>5. Retesting</t>
  </si>
  <si>
    <t>Once a defect is fixed, re-execute the linked test case and update its Status to Pass; update the defect Status to Closed.</t>
  </si>
  <si>
    <t>6. Regression Testing</t>
  </si>
  <si>
    <t>Re-run related passed test cases around the fixed area to confirm nothing else broke.</t>
  </si>
  <si>
    <t>7. Metrics Collection</t>
  </si>
  <si>
    <t>Test Coverage, Execution %, Pass/Fail Rate, Defect Density and Closure Rate are calculated automatically (see Test Metrics).</t>
  </si>
  <si>
    <t>8. Final Analysis &amp; Reporting</t>
  </si>
  <si>
    <t>Review Feature-wise Analysis and the Dashboard to judge release readiness and highlight risk areas.</t>
  </si>
  <si>
    <t>2. Quick Formula Sheet</t>
  </si>
  <si>
    <t>Metric</t>
  </si>
  <si>
    <t>Formula</t>
  </si>
  <si>
    <t>Test Coverage</t>
  </si>
  <si>
    <t>(Requirements Tested ÷ Total Requirements) × 100</t>
  </si>
  <si>
    <t>Test Execution %</t>
  </si>
  <si>
    <t>(Executed Test Cases ÷ Total Test Cases) × 100</t>
  </si>
  <si>
    <t>(Passed Test Cases ÷ Executed Test Cases) × 100</t>
  </si>
  <si>
    <t>(Failed Test Cases ÷ Executed Test Cases) × 100</t>
  </si>
  <si>
    <t>Defect Density</t>
  </si>
  <si>
    <t>Number of Defects ÷ KLOC</t>
  </si>
  <si>
    <t>(Closed Defects ÷ Total Defects) × 100</t>
  </si>
  <si>
    <t>Mean</t>
  </si>
  <si>
    <t>Sum of Values ÷ Number of Values</t>
  </si>
  <si>
    <t>Median (odd count)</t>
  </si>
  <si>
    <t>Middle value after sorting</t>
  </si>
  <si>
    <t>Median (even count)</t>
  </si>
  <si>
    <t>(Middle Value 1 + Middle Value 2) ÷ 2</t>
  </si>
  <si>
    <t>3. Key Differences</t>
  </si>
  <si>
    <t>•  Test Coverage asks: How much of the requirements have been tested?</t>
  </si>
  <si>
    <t>•  Test Execution asks: How many test cases have been executed?</t>
  </si>
  <si>
    <t>•  Pass Rate asks: How many of the executed test cases passed?</t>
  </si>
  <si>
    <t>4. How to Update This Workbook</t>
  </si>
  <si>
    <t>•  Test Cases sheet: edit Actual Result and Status (dropdown: Pass / Fail / Blocked / Not Executed) as you execute each test.</t>
  </si>
  <si>
    <t>•  Defect Log sheet: add one row per Fail with Severity, Priority, Status (Open/Closed) and reproduction steps.</t>
  </si>
  <si>
    <t>•  Test Metrics sheet: blue cells (Total Requirements, KLOC) are editable assumptions — everything else is a formula and updates automatically.</t>
  </si>
  <si>
    <t>•  Feature-wise Analysis and Dashboard: fully automatic — no manual editing needed, they read from Test Cases / Defect Log / Test Metrics.</t>
  </si>
  <si>
    <t>•  In Excel, formulas recalculate automatically. If a formula shows a stale value, press Ctrl+Alt+F9 to force a full recalculation.</t>
  </si>
  <si>
    <t>24-09-2026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</si>
</sst>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charset val="1"/>
    </font>
    <font>
      <sz val="10"/>
      <name val="Arial"/>
      <family val="2"/>
    </font>
    <font>
      <b/>
      <sz val="16"/>
      <color rgb="FFFFFFFF"/>
      <name val="Arial"/>
      <family val="2"/>
    </font>
    <font>
      <b/>
      <sz val="12"/>
      <color rgb="FFFFFFFF"/>
      <name val="Arial"/>
      <family val="2"/>
    </font>
    <font>
      <b/>
      <sz val="10"/>
      <name val="Arial"/>
      <family val="2"/>
    </font>
    <font>
      <sz val="10"/>
      <name val="Arial"/>
      <family val="2"/>
    </font>
    <font>
      <b/>
      <sz val="10"/>
      <color rgb="FFFFFFFF"/>
      <name val="Arial"/>
      <family val="2"/>
    </font>
    <font>
      <b/>
      <sz val="10"/>
      <color rgb="FF006100"/>
      <name val="Arial"/>
      <family val="2"/>
    </font>
    <font>
      <b/>
      <sz val="10"/>
      <color rgb="FF9C0006"/>
      <name val="Arial"/>
      <family val="2"/>
    </font>
    <font>
      <i/>
      <sz val="9"/>
      <color rgb="FF808080"/>
      <name val="Arial"/>
      <family val="2"/>
    </font>
    <font>
      <b/>
      <sz val="10"/>
      <color rgb="FF9C6500"/>
      <name val="Arial"/>
      <family val="2"/>
    </font>
    <font>
      <b/>
      <sz val="11"/>
      <color rgb="FF1F3864"/>
      <name val="Arial"/>
      <family val="2"/>
    </font>
    <font>
      <b/>
      <sz val="11"/>
      <color rgb="FF0000FF"/>
      <name val="Arial"/>
      <family val="2"/>
    </font>
    <font>
      <b/>
      <sz val="10"/>
      <color rgb="FF595959"/>
      <name val="Arial"/>
      <family val="2"/>
    </font>
    <font>
      <b/>
      <sz val="22"/>
      <color rgb="FF1F3864"/>
      <name val="Arial"/>
      <family val="2"/>
    </font>
  </fonts>
  <fills count="9">
    <fill>
      <patternFill patternType="none"/>
    </fill>
    <fill>
      <patternFill patternType="gray125"/>
    </fill>
    <fill>
      <patternFill patternType="solid">
        <fgColor rgb="FF1F3864"/>
        <bgColor rgb="FF2E5395"/>
      </patternFill>
    </fill>
    <fill>
      <patternFill patternType="solid">
        <fgColor rgb="FF2E5395"/>
        <bgColor rgb="FF1F3864"/>
      </patternFill>
    </fill>
    <fill>
      <patternFill patternType="solid">
        <fgColor rgb="FFF2F2F2"/>
        <bgColor rgb="FFFFFFFF"/>
      </patternFill>
    </fill>
    <fill>
      <patternFill patternType="solid">
        <fgColor rgb="FFC6EFCE"/>
        <bgColor rgb="FFD9E2F3"/>
      </patternFill>
    </fill>
    <fill>
      <patternFill patternType="solid">
        <fgColor rgb="FFFFC7CE"/>
        <bgColor rgb="FFD9D9D9"/>
      </patternFill>
    </fill>
    <fill>
      <patternFill patternType="solid">
        <fgColor rgb="FFFFEB9C"/>
        <bgColor rgb="FFF2F2F2"/>
      </patternFill>
    </fill>
    <fill>
      <patternFill patternType="solid">
        <fgColor rgb="FFD9E2F3"/>
        <bgColor rgb="FFD9D9D9"/>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50">
    <xf numFmtId="0" fontId="0" fillId="0" borderId="0" xfId="0"/>
    <xf numFmtId="0" fontId="5" fillId="0" borderId="2" xfId="0" applyFont="1" applyBorder="1" applyAlignment="1">
      <alignment horizontal="left" vertical="top" wrapText="1"/>
    </xf>
    <xf numFmtId="0" fontId="5" fillId="0" borderId="2" xfId="0" applyFont="1" applyBorder="1" applyAlignment="1">
      <alignment horizontal="left" vertical="center" wrapText="1"/>
    </xf>
    <xf numFmtId="165" fontId="14" fillId="8" borderId="1" xfId="0"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9" fillId="0" borderId="0" xfId="0" applyFont="1" applyAlignment="1">
      <alignment horizontal="left" vertical="center" wrapText="1"/>
    </xf>
    <xf numFmtId="0" fontId="5" fillId="0" borderId="1" xfId="0" applyFont="1" applyBorder="1"/>
    <xf numFmtId="0" fontId="9" fillId="0" borderId="0" xfId="0" applyFont="1"/>
    <xf numFmtId="0" fontId="4" fillId="4" borderId="1" xfId="0" applyFont="1" applyFill="1" applyBorder="1"/>
    <xf numFmtId="0" fontId="9" fillId="0" borderId="0" xfId="0" applyFont="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center" wrapText="1"/>
    </xf>
    <xf numFmtId="0" fontId="3" fillId="3" borderId="0" xfId="0" applyFont="1" applyFill="1" applyAlignment="1">
      <alignment horizontal="left" vertical="center" indent="1"/>
    </xf>
    <xf numFmtId="0" fontId="2" fillId="2" borderId="0" xfId="0" applyFont="1" applyFill="1" applyAlignment="1">
      <alignment horizontal="center" vertical="center"/>
    </xf>
    <xf numFmtId="0" fontId="4" fillId="4" borderId="1" xfId="0" applyFont="1" applyFill="1" applyBorder="1"/>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4" fillId="5" borderId="1" xfId="0" applyFont="1" applyFill="1" applyBorder="1"/>
    <xf numFmtId="0" fontId="4" fillId="6" borderId="1" xfId="0" applyFont="1" applyFill="1" applyBorder="1"/>
    <xf numFmtId="0" fontId="0" fillId="0" borderId="1" xfId="0" applyBorder="1"/>
    <xf numFmtId="0" fontId="6"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left" vertical="top" wrapText="1"/>
    </xf>
    <xf numFmtId="0" fontId="8" fillId="6" borderId="1" xfId="0" applyFont="1" applyFill="1" applyBorder="1" applyAlignment="1">
      <alignment horizontal="center" vertical="center" wrapText="1"/>
    </xf>
    <xf numFmtId="0" fontId="9" fillId="0" borderId="0" xfId="0" applyFont="1" applyAlignment="1">
      <alignment horizontal="left" vertical="top" wrapText="1"/>
    </xf>
    <xf numFmtId="0" fontId="10" fillId="7" borderId="1" xfId="0" applyFont="1" applyFill="1" applyBorder="1" applyAlignment="1">
      <alignment horizontal="center" vertical="center" wrapText="1"/>
    </xf>
    <xf numFmtId="0" fontId="11" fillId="0" borderId="1" xfId="0" applyFont="1" applyBorder="1" applyAlignment="1">
      <alignment horizontal="center" vertical="center" wrapText="1"/>
    </xf>
    <xf numFmtId="10" fontId="11"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2" fontId="11" fillId="0" borderId="1" xfId="0" applyNumberFormat="1" applyFont="1" applyBorder="1" applyAlignment="1">
      <alignment horizontal="center" vertical="center" wrapText="1"/>
    </xf>
    <xf numFmtId="164"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165" fontId="5" fillId="4" borderId="1" xfId="0" applyNumberFormat="1" applyFont="1" applyFill="1" applyBorder="1" applyAlignment="1">
      <alignment horizontal="center" vertical="center" wrapText="1"/>
    </xf>
    <xf numFmtId="0" fontId="4" fillId="8" borderId="1" xfId="0" applyFont="1" applyFill="1" applyBorder="1"/>
    <xf numFmtId="0" fontId="4" fillId="8" borderId="1" xfId="0" applyFont="1" applyFill="1" applyBorder="1" applyAlignment="1">
      <alignment horizontal="center" vertical="center" wrapText="1"/>
    </xf>
    <xf numFmtId="165" fontId="4" fillId="8" borderId="1" xfId="0" applyNumberFormat="1" applyFont="1" applyFill="1" applyBorder="1" applyAlignment="1">
      <alignment horizontal="center" vertical="center" wrapText="1"/>
    </xf>
    <xf numFmtId="0" fontId="0" fillId="8" borderId="1" xfId="0" applyFill="1" applyBorder="1"/>
    <xf numFmtId="0" fontId="4" fillId="0" borderId="0" xfId="0" applyFont="1"/>
    <xf numFmtId="0" fontId="5" fillId="0" borderId="0" xfId="0" applyFont="1"/>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15" fontId="5" fillId="0" borderId="1" xfId="0" applyNumberFormat="1" applyFont="1" applyBorder="1" applyAlignment="1">
      <alignment horizontal="left" vertical="center" wrapText="1"/>
    </xf>
    <xf numFmtId="14" fontId="5" fillId="4" borderId="1" xfId="0" applyNumberFormat="1" applyFont="1" applyFill="1" applyBorder="1" applyAlignment="1">
      <alignment horizontal="left" vertical="center" wrapText="1"/>
    </xf>
    <xf numFmtId="14" fontId="5" fillId="0" borderId="1" xfId="0" applyNumberFormat="1" applyFont="1" applyBorder="1" applyAlignment="1">
      <alignment horizontal="left"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7B7B7"/>
      <rgbColor rgb="FF808080"/>
      <rgbColor rgb="FF9999FF"/>
      <rgbColor rgb="FFC0504D"/>
      <rgbColor rgb="FFF2F2F2"/>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33CCCC"/>
      <rgbColor rgb="FF9BBB59"/>
      <rgbColor rgb="FFFFCC00"/>
      <rgbColor rgb="FFFF9900"/>
      <rgbColor rgb="FFFF6600"/>
      <rgbColor rgb="FF8064A2"/>
      <rgbColor rgb="FF878787"/>
      <rgbColor rgb="FF1F3864"/>
      <rgbColor rgb="FF339966"/>
      <rgbColor rgb="FF003300"/>
      <rgbColor rgb="FF333300"/>
      <rgbColor rgb="FF993300"/>
      <rgbColor rgb="FF993366"/>
      <rgbColor rgb="FF2E5395"/>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Test Case Status Distribution</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B839-4EAB-9759-3C7D23137904}"/>
              </c:ext>
            </c:extLst>
          </c:dPt>
          <c:dPt>
            <c:idx val="1"/>
            <c:bubble3D val="0"/>
            <c:spPr>
              <a:solidFill>
                <a:srgbClr val="C0504D"/>
              </a:solidFill>
              <a:ln w="0">
                <a:noFill/>
              </a:ln>
            </c:spPr>
            <c:extLst>
              <c:ext xmlns:c16="http://schemas.microsoft.com/office/drawing/2014/chart" uri="{C3380CC4-5D6E-409C-BE32-E72D297353CC}">
                <c16:uniqueId val="{00000003-B839-4EAB-9759-3C7D23137904}"/>
              </c:ext>
            </c:extLst>
          </c:dPt>
          <c:dPt>
            <c:idx val="2"/>
            <c:bubble3D val="0"/>
            <c:spPr>
              <a:solidFill>
                <a:srgbClr val="9BBB59"/>
              </a:solidFill>
              <a:ln w="0">
                <a:noFill/>
              </a:ln>
            </c:spPr>
            <c:extLst>
              <c:ext xmlns:c16="http://schemas.microsoft.com/office/drawing/2014/chart" uri="{C3380CC4-5D6E-409C-BE32-E72D297353CC}">
                <c16:uniqueId val="{00000005-B839-4EAB-9759-3C7D23137904}"/>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B839-4EAB-9759-3C7D23137904}"/>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B839-4EAB-9759-3C7D23137904}"/>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B839-4EAB-9759-3C7D23137904}"/>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Dashboard!$A$8:$A$10</c:f>
              <c:strCache>
                <c:ptCount val="3"/>
                <c:pt idx="0">
                  <c:v>Pass</c:v>
                </c:pt>
                <c:pt idx="1">
                  <c:v>Fail</c:v>
                </c:pt>
                <c:pt idx="2">
                  <c:v>Blocked</c:v>
                </c:pt>
              </c:strCache>
            </c:strRef>
          </c:cat>
          <c:val>
            <c:numRef>
              <c:f>Dashboard!$B$8:$B$10</c:f>
              <c:numCache>
                <c:formatCode>General</c:formatCode>
                <c:ptCount val="3"/>
                <c:pt idx="0">
                  <c:v>27</c:v>
                </c:pt>
                <c:pt idx="1">
                  <c:v>3</c:v>
                </c:pt>
                <c:pt idx="2">
                  <c:v>0</c:v>
                </c:pt>
              </c:numCache>
            </c:numRef>
          </c:val>
          <c:extLst>
            <c:ext xmlns:c16="http://schemas.microsoft.com/office/drawing/2014/chart" uri="{C3380CC4-5D6E-409C-BE32-E72D297353CC}">
              <c16:uniqueId val="{00000006-B839-4EAB-9759-3C7D23137904}"/>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Defect Severity Distribution</a:t>
            </a:r>
          </a:p>
        </c:rich>
      </c:tx>
      <c:overlay val="0"/>
      <c:spPr>
        <a:noFill/>
        <a:ln w="0">
          <a:noFill/>
        </a:ln>
      </c:spPr>
    </c:title>
    <c:autoTitleDeleted val="0"/>
    <c:plotArea>
      <c:layout/>
      <c:pieChart>
        <c:varyColors val="1"/>
        <c:ser>
          <c:idx val="0"/>
          <c:order val="0"/>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DE18-47CF-BBD1-9C68E9283737}"/>
              </c:ext>
            </c:extLst>
          </c:dPt>
          <c:dPt>
            <c:idx val="1"/>
            <c:bubble3D val="0"/>
            <c:spPr>
              <a:solidFill>
                <a:srgbClr val="C0504D"/>
              </a:solidFill>
              <a:ln w="0">
                <a:noFill/>
              </a:ln>
            </c:spPr>
            <c:extLst>
              <c:ext xmlns:c16="http://schemas.microsoft.com/office/drawing/2014/chart" uri="{C3380CC4-5D6E-409C-BE32-E72D297353CC}">
                <c16:uniqueId val="{00000003-DE18-47CF-BBD1-9C68E9283737}"/>
              </c:ext>
            </c:extLst>
          </c:dPt>
          <c:dPt>
            <c:idx val="2"/>
            <c:bubble3D val="0"/>
            <c:spPr>
              <a:solidFill>
                <a:srgbClr val="9BBB59"/>
              </a:solidFill>
              <a:ln w="0">
                <a:noFill/>
              </a:ln>
            </c:spPr>
            <c:extLst>
              <c:ext xmlns:c16="http://schemas.microsoft.com/office/drawing/2014/chart" uri="{C3380CC4-5D6E-409C-BE32-E72D297353CC}">
                <c16:uniqueId val="{00000005-DE18-47CF-BBD1-9C68E9283737}"/>
              </c:ext>
            </c:extLst>
          </c:dPt>
          <c:dPt>
            <c:idx val="3"/>
            <c:bubble3D val="0"/>
            <c:spPr>
              <a:solidFill>
                <a:srgbClr val="8064A2"/>
              </a:solidFill>
              <a:ln w="0">
                <a:noFill/>
              </a:ln>
            </c:spPr>
            <c:extLst>
              <c:ext xmlns:c16="http://schemas.microsoft.com/office/drawing/2014/chart" uri="{C3380CC4-5D6E-409C-BE32-E72D297353CC}">
                <c16:uniqueId val="{00000007-DE18-47CF-BBD1-9C68E9283737}"/>
              </c:ext>
            </c:extLst>
          </c:dPt>
          <c:dLbls>
            <c:dLbl>
              <c:idx val="0"/>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1-DE18-47CF-BBD1-9C68E9283737}"/>
                </c:ext>
              </c:extLst>
            </c:dLbl>
            <c:dLbl>
              <c:idx val="1"/>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3-DE18-47CF-BBD1-9C68E9283737}"/>
                </c:ext>
              </c:extLst>
            </c:dLbl>
            <c:dLbl>
              <c:idx val="2"/>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5-DE18-47CF-BBD1-9C68E9283737}"/>
                </c:ext>
              </c:extLst>
            </c:dLbl>
            <c:dLbl>
              <c:idx val="3"/>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extLst>
                <c:ext xmlns:c16="http://schemas.microsoft.com/office/drawing/2014/chart" uri="{C3380CC4-5D6E-409C-BE32-E72D297353CC}">
                  <c16:uniqueId val="{00000007-DE18-47CF-BBD1-9C68E9283737}"/>
                </c:ext>
              </c:extLst>
            </c:dLbl>
            <c:spPr>
              <a:noFill/>
              <a:ln>
                <a:noFill/>
              </a:ln>
              <a:effectLst/>
            </c:spPr>
            <c:txPr>
              <a:bodyPr wrap="square"/>
              <a:lstStyle/>
              <a:p>
                <a:pPr>
                  <a:defRPr sz="1000" b="0" strike="noStrike" spc="-1">
                    <a:solidFill>
                      <a:srgbClr val="000000"/>
                    </a:solidFill>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Dashboard!$A$13:$A$16</c:f>
              <c:strCache>
                <c:ptCount val="4"/>
                <c:pt idx="0">
                  <c:v>Critical</c:v>
                </c:pt>
                <c:pt idx="1">
                  <c:v>High</c:v>
                </c:pt>
                <c:pt idx="2">
                  <c:v>Medium</c:v>
                </c:pt>
                <c:pt idx="3">
                  <c:v>Low</c:v>
                </c:pt>
              </c:strCache>
            </c:strRef>
          </c:cat>
          <c:val>
            <c:numRef>
              <c:f>Dashboard!$B$13:$B$16</c:f>
              <c:numCache>
                <c:formatCode>General</c:formatCode>
                <c:ptCount val="4"/>
                <c:pt idx="0">
                  <c:v>0</c:v>
                </c:pt>
                <c:pt idx="1">
                  <c:v>2</c:v>
                </c:pt>
                <c:pt idx="2">
                  <c:v>0</c:v>
                </c:pt>
                <c:pt idx="3">
                  <c:v>0</c:v>
                </c:pt>
              </c:numCache>
            </c:numRef>
          </c:val>
          <c:extLst>
            <c:ext xmlns:c16="http://schemas.microsoft.com/office/drawing/2014/chart" uri="{C3380CC4-5D6E-409C-BE32-E72D297353CC}">
              <c16:uniqueId val="{00000008-DE18-47CF-BBD1-9C68E9283737}"/>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Feature-wise Pass vs Fail</a:t>
            </a:r>
          </a:p>
        </c:rich>
      </c:tx>
      <c:overlay val="0"/>
      <c:spPr>
        <a:noFill/>
        <a:ln w="0">
          <a:noFill/>
        </a:ln>
      </c:spPr>
    </c:title>
    <c:autoTitleDeleted val="0"/>
    <c:plotArea>
      <c:layout/>
      <c:barChart>
        <c:barDir val="col"/>
        <c:grouping val="clustered"/>
        <c:varyColors val="0"/>
        <c:ser>
          <c:idx val="0"/>
          <c:order val="0"/>
          <c:tx>
            <c:strRef>
              <c:f>'Feature-wise Analysis'!$C$2</c:f>
              <c:strCache>
                <c:ptCount val="1"/>
                <c:pt idx="0">
                  <c:v>Passed</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'Feature-wise Analysis'!$A$3:$A$12</c:f>
              <c:strCache>
                <c:ptCount val="10"/>
                <c:pt idx="0">
                  <c:v>Home Page</c:v>
                </c:pt>
                <c:pt idx="1">
                  <c:v>Search</c:v>
                </c:pt>
                <c:pt idx="2">
                  <c:v>Categories</c:v>
                </c:pt>
                <c:pt idx="3">
                  <c:v>Filters &amp; Sorting</c:v>
                </c:pt>
                <c:pt idx="4">
                  <c:v>Product Details</c:v>
                </c:pt>
                <c:pt idx="5">
                  <c:v>Wishlist</c:v>
                </c:pt>
                <c:pt idx="6">
                  <c:v>My Profile</c:v>
                </c:pt>
                <c:pt idx="7">
                  <c:v>Shopping Bag</c:v>
                </c:pt>
                <c:pt idx="8">
                  <c:v>Address</c:v>
                </c:pt>
                <c:pt idx="9">
                  <c:v>Checkout</c:v>
                </c:pt>
              </c:strCache>
            </c:strRef>
          </c:cat>
          <c:val>
            <c:numRef>
              <c:f>'Feature-wise Analysis'!$C$3:$C$12</c:f>
              <c:numCache>
                <c:formatCode>General</c:formatCode>
                <c:ptCount val="10"/>
                <c:pt idx="0">
                  <c:v>3</c:v>
                </c:pt>
                <c:pt idx="1">
                  <c:v>3</c:v>
                </c:pt>
                <c:pt idx="2">
                  <c:v>3</c:v>
                </c:pt>
                <c:pt idx="3">
                  <c:v>3</c:v>
                </c:pt>
                <c:pt idx="4">
                  <c:v>3</c:v>
                </c:pt>
                <c:pt idx="5">
                  <c:v>3</c:v>
                </c:pt>
                <c:pt idx="6">
                  <c:v>2</c:v>
                </c:pt>
                <c:pt idx="7">
                  <c:v>3</c:v>
                </c:pt>
                <c:pt idx="8">
                  <c:v>2</c:v>
                </c:pt>
                <c:pt idx="9">
                  <c:v>2</c:v>
                </c:pt>
              </c:numCache>
            </c:numRef>
          </c:val>
          <c:extLst>
            <c:ext xmlns:c16="http://schemas.microsoft.com/office/drawing/2014/chart" uri="{C3380CC4-5D6E-409C-BE32-E72D297353CC}">
              <c16:uniqueId val="{00000000-B7BB-4573-A1F4-435A743F81A4}"/>
            </c:ext>
          </c:extLst>
        </c:ser>
        <c:ser>
          <c:idx val="1"/>
          <c:order val="1"/>
          <c:tx>
            <c:strRef>
              <c:f>'Feature-wise Analysis'!$D$2</c:f>
              <c:strCache>
                <c:ptCount val="1"/>
                <c:pt idx="0">
                  <c:v>Failed</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'Feature-wise Analysis'!$A$3:$A$12</c:f>
              <c:strCache>
                <c:ptCount val="10"/>
                <c:pt idx="0">
                  <c:v>Home Page</c:v>
                </c:pt>
                <c:pt idx="1">
                  <c:v>Search</c:v>
                </c:pt>
                <c:pt idx="2">
                  <c:v>Categories</c:v>
                </c:pt>
                <c:pt idx="3">
                  <c:v>Filters &amp; Sorting</c:v>
                </c:pt>
                <c:pt idx="4">
                  <c:v>Product Details</c:v>
                </c:pt>
                <c:pt idx="5">
                  <c:v>Wishlist</c:v>
                </c:pt>
                <c:pt idx="6">
                  <c:v>My Profile</c:v>
                </c:pt>
                <c:pt idx="7">
                  <c:v>Shopping Bag</c:v>
                </c:pt>
                <c:pt idx="8">
                  <c:v>Address</c:v>
                </c:pt>
                <c:pt idx="9">
                  <c:v>Checkout</c:v>
                </c:pt>
              </c:strCache>
            </c:strRef>
          </c:cat>
          <c:val>
            <c:numRef>
              <c:f>'Feature-wise Analysis'!$D$3:$D$12</c:f>
              <c:numCache>
                <c:formatCode>General</c:formatCode>
                <c:ptCount val="10"/>
                <c:pt idx="0">
                  <c:v>0</c:v>
                </c:pt>
                <c:pt idx="1">
                  <c:v>1</c:v>
                </c:pt>
                <c:pt idx="2">
                  <c:v>0</c:v>
                </c:pt>
                <c:pt idx="3">
                  <c:v>1</c:v>
                </c:pt>
                <c:pt idx="4">
                  <c:v>0</c:v>
                </c:pt>
                <c:pt idx="5">
                  <c:v>0</c:v>
                </c:pt>
                <c:pt idx="6">
                  <c:v>0</c:v>
                </c:pt>
                <c:pt idx="7">
                  <c:v>1</c:v>
                </c:pt>
                <c:pt idx="8">
                  <c:v>0</c:v>
                </c:pt>
                <c:pt idx="9">
                  <c:v>0</c:v>
                </c:pt>
              </c:numCache>
            </c:numRef>
          </c:val>
          <c:extLst>
            <c:ext xmlns:c16="http://schemas.microsoft.com/office/drawing/2014/chart" uri="{C3380CC4-5D6E-409C-BE32-E72D297353CC}">
              <c16:uniqueId val="{00000001-B7BB-4573-A1F4-435A743F81A4}"/>
            </c:ext>
          </c:extLst>
        </c:ser>
        <c:dLbls>
          <c:showLegendKey val="0"/>
          <c:showVal val="0"/>
          <c:showCatName val="0"/>
          <c:showSerName val="0"/>
          <c:showPercent val="0"/>
          <c:showBubbleSize val="0"/>
        </c:dLbls>
        <c:gapWidth val="150"/>
        <c:axId val="83880598"/>
        <c:axId val="67429820"/>
      </c:barChart>
      <c:catAx>
        <c:axId val="83880598"/>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Feature</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429820"/>
        <c:crosses val="autoZero"/>
        <c:auto val="1"/>
        <c:lblAlgn val="ctr"/>
        <c:lblOffset val="100"/>
        <c:noMultiLvlLbl val="0"/>
      </c:catAx>
      <c:valAx>
        <c:axId val="67429820"/>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Test Cases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88059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299520</xdr:colOff>
      <xdr:row>30</xdr:row>
      <xdr:rowOff>21240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15</xdr:row>
      <xdr:rowOff>0</xdr:rowOff>
    </xdr:from>
    <xdr:to>
      <xdr:col>11</xdr:col>
      <xdr:colOff>299520</xdr:colOff>
      <xdr:row>30</xdr:row>
      <xdr:rowOff>21240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33</xdr:row>
      <xdr:rowOff>0</xdr:rowOff>
    </xdr:from>
    <xdr:to>
      <xdr:col>12</xdr:col>
      <xdr:colOff>599760</xdr:colOff>
      <xdr:row>50</xdr:row>
      <xdr:rowOff>360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3"/>
  <sheetViews>
    <sheetView showGridLines="0" zoomScaleNormal="100" workbookViewId="0">
      <selection activeCell="B8" sqref="B8:C8"/>
    </sheetView>
  </sheetViews>
  <sheetFormatPr defaultColWidth="8.6328125" defaultRowHeight="14.5" x14ac:dyDescent="0.35"/>
  <cols>
    <col min="1" max="3" width="34" customWidth="1"/>
  </cols>
  <sheetData>
    <row r="1" spans="1:3" ht="30" customHeight="1" x14ac:dyDescent="0.35">
      <c r="A1" s="14" t="s">
        <v>0</v>
      </c>
      <c r="B1" s="14"/>
      <c r="C1" s="14"/>
    </row>
    <row r="3" spans="1:3" ht="19.5" customHeight="1" x14ac:dyDescent="0.35">
      <c r="A3" s="13" t="s">
        <v>1</v>
      </c>
      <c r="B3" s="13"/>
      <c r="C3" s="13"/>
    </row>
    <row r="4" spans="1:3" ht="18" customHeight="1" x14ac:dyDescent="0.35">
      <c r="A4" s="15" t="s">
        <v>2</v>
      </c>
      <c r="B4" s="12" t="s">
        <v>3</v>
      </c>
      <c r="C4" s="12"/>
    </row>
    <row r="5" spans="1:3" ht="18" customHeight="1" x14ac:dyDescent="0.35">
      <c r="A5" s="15" t="s">
        <v>4</v>
      </c>
      <c r="B5" s="12" t="s">
        <v>5</v>
      </c>
      <c r="C5" s="12"/>
    </row>
    <row r="6" spans="1:3" ht="18" customHeight="1" x14ac:dyDescent="0.35">
      <c r="A6" s="15" t="s">
        <v>6</v>
      </c>
      <c r="B6" s="12" t="s">
        <v>7</v>
      </c>
      <c r="C6" s="12"/>
    </row>
    <row r="7" spans="1:3" ht="18" customHeight="1" x14ac:dyDescent="0.35">
      <c r="A7" s="15" t="s">
        <v>8</v>
      </c>
      <c r="B7" s="12" t="s">
        <v>9</v>
      </c>
      <c r="C7" s="12"/>
    </row>
    <row r="8" spans="1:3" ht="18" customHeight="1" x14ac:dyDescent="0.35">
      <c r="A8" s="15" t="s">
        <v>10</v>
      </c>
      <c r="B8" s="12" t="s">
        <v>11</v>
      </c>
      <c r="C8" s="12"/>
    </row>
    <row r="9" spans="1:3" ht="18" customHeight="1" x14ac:dyDescent="0.35">
      <c r="A9" s="15" t="s">
        <v>12</v>
      </c>
      <c r="B9" s="12" t="s">
        <v>13</v>
      </c>
      <c r="C9" s="12"/>
    </row>
    <row r="10" spans="1:3" ht="18" customHeight="1" x14ac:dyDescent="0.35">
      <c r="A10" s="15" t="s">
        <v>14</v>
      </c>
      <c r="B10" s="12" t="s">
        <v>15</v>
      </c>
      <c r="C10" s="12"/>
    </row>
    <row r="11" spans="1:3" ht="27.75" customHeight="1" x14ac:dyDescent="0.35">
      <c r="A11" s="15" t="s">
        <v>16</v>
      </c>
      <c r="B11" s="12" t="s">
        <v>17</v>
      </c>
      <c r="C11" s="12"/>
    </row>
    <row r="12" spans="1:3" ht="18" customHeight="1" x14ac:dyDescent="0.35">
      <c r="A12" s="15" t="s">
        <v>18</v>
      </c>
      <c r="B12" s="12" t="s">
        <v>19</v>
      </c>
      <c r="C12" s="12"/>
    </row>
    <row r="14" spans="1:3" ht="19.5" customHeight="1" x14ac:dyDescent="0.35">
      <c r="A14" s="13" t="s">
        <v>20</v>
      </c>
      <c r="B14" s="13"/>
      <c r="C14" s="13"/>
    </row>
    <row r="15" spans="1:3" ht="15" customHeight="1" x14ac:dyDescent="0.35">
      <c r="A15" s="11" t="s">
        <v>21</v>
      </c>
      <c r="B15" s="11"/>
      <c r="C15" s="11"/>
    </row>
    <row r="16" spans="1:3" ht="15" customHeight="1" x14ac:dyDescent="0.35">
      <c r="A16" s="11"/>
      <c r="B16" s="11"/>
      <c r="C16" s="11"/>
    </row>
    <row r="17" spans="1:3" ht="15" customHeight="1" x14ac:dyDescent="0.35">
      <c r="A17" s="11"/>
      <c r="B17" s="11"/>
      <c r="C17" s="11"/>
    </row>
    <row r="18" spans="1:3" ht="15" customHeight="1" x14ac:dyDescent="0.35">
      <c r="A18" s="11"/>
      <c r="B18" s="11"/>
      <c r="C18" s="11"/>
    </row>
    <row r="20" spans="1:3" ht="19.5" customHeight="1" x14ac:dyDescent="0.35">
      <c r="A20" s="13" t="s">
        <v>22</v>
      </c>
      <c r="B20" s="13"/>
      <c r="C20" s="13"/>
    </row>
    <row r="21" spans="1:3" ht="15" customHeight="1" x14ac:dyDescent="0.35">
      <c r="A21" s="12" t="s">
        <v>23</v>
      </c>
      <c r="B21" s="12"/>
      <c r="C21" s="12"/>
    </row>
    <row r="22" spans="1:3" ht="15" customHeight="1" x14ac:dyDescent="0.35">
      <c r="A22" s="12" t="s">
        <v>24</v>
      </c>
      <c r="B22" s="12"/>
      <c r="C22" s="12"/>
    </row>
    <row r="23" spans="1:3" ht="15" customHeight="1" x14ac:dyDescent="0.35">
      <c r="A23" s="12" t="s">
        <v>25</v>
      </c>
      <c r="B23" s="12"/>
      <c r="C23" s="12"/>
    </row>
    <row r="24" spans="1:3" ht="15" customHeight="1" x14ac:dyDescent="0.35">
      <c r="A24" s="12" t="s">
        <v>26</v>
      </c>
      <c r="B24" s="12"/>
      <c r="C24" s="12"/>
    </row>
    <row r="25" spans="1:3" ht="15" customHeight="1" x14ac:dyDescent="0.35">
      <c r="A25" s="12" t="s">
        <v>27</v>
      </c>
      <c r="B25" s="12"/>
      <c r="C25" s="12"/>
    </row>
    <row r="26" spans="1:3" ht="15" customHeight="1" x14ac:dyDescent="0.35">
      <c r="A26" s="12" t="s">
        <v>28</v>
      </c>
      <c r="B26" s="12"/>
      <c r="C26" s="12"/>
    </row>
    <row r="27" spans="1:3" ht="15" customHeight="1" x14ac:dyDescent="0.35">
      <c r="A27" s="12" t="s">
        <v>29</v>
      </c>
      <c r="B27" s="12"/>
      <c r="C27" s="12"/>
    </row>
    <row r="29" spans="1:3" ht="19.5" customHeight="1" x14ac:dyDescent="0.35">
      <c r="A29" s="13" t="s">
        <v>30</v>
      </c>
      <c r="B29" s="13"/>
      <c r="C29" s="13"/>
    </row>
    <row r="30" spans="1:3" ht="15" customHeight="1" x14ac:dyDescent="0.35">
      <c r="A30" s="11" t="s">
        <v>31</v>
      </c>
      <c r="B30" s="11"/>
      <c r="C30" s="11"/>
    </row>
    <row r="31" spans="1:3" ht="15" customHeight="1" x14ac:dyDescent="0.35">
      <c r="A31" s="11"/>
      <c r="B31" s="11"/>
      <c r="C31" s="11"/>
    </row>
    <row r="33" spans="1:3" ht="15" customHeight="1" x14ac:dyDescent="0.35">
      <c r="A33" s="18" t="s">
        <v>32</v>
      </c>
      <c r="B33" s="19" t="s">
        <v>33</v>
      </c>
      <c r="C33" s="20"/>
    </row>
    <row r="34" spans="1:3" ht="15" customHeight="1" x14ac:dyDescent="0.35">
      <c r="A34" s="16" t="s">
        <v>34</v>
      </c>
      <c r="B34" s="16" t="s">
        <v>35</v>
      </c>
      <c r="C34" s="20"/>
    </row>
    <row r="35" spans="1:3" ht="15" customHeight="1" x14ac:dyDescent="0.35">
      <c r="A35" s="16" t="s">
        <v>36</v>
      </c>
      <c r="B35" s="16" t="s">
        <v>37</v>
      </c>
      <c r="C35" s="20"/>
    </row>
    <row r="36" spans="1:3" ht="23.25" customHeight="1" x14ac:dyDescent="0.35">
      <c r="A36" s="16" t="s">
        <v>38</v>
      </c>
      <c r="B36" s="16" t="s">
        <v>39</v>
      </c>
      <c r="C36" s="20"/>
    </row>
    <row r="37" spans="1:3" ht="15" customHeight="1" x14ac:dyDescent="0.35">
      <c r="A37" s="16" t="s">
        <v>40</v>
      </c>
      <c r="B37" s="16" t="s">
        <v>41</v>
      </c>
      <c r="C37" s="20"/>
    </row>
    <row r="38" spans="1:3" ht="15" customHeight="1" x14ac:dyDescent="0.35">
      <c r="A38" s="16" t="s">
        <v>42</v>
      </c>
      <c r="B38" s="16" t="s">
        <v>43</v>
      </c>
      <c r="C38" s="20"/>
    </row>
    <row r="39" spans="1:3" ht="15" customHeight="1" x14ac:dyDescent="0.35">
      <c r="A39" s="16" t="s">
        <v>44</v>
      </c>
      <c r="B39" s="16"/>
      <c r="C39" s="20"/>
    </row>
    <row r="40" spans="1:3" ht="15" customHeight="1" x14ac:dyDescent="0.35">
      <c r="A40" s="16" t="s">
        <v>45</v>
      </c>
      <c r="B40" s="16"/>
      <c r="C40" s="20"/>
    </row>
    <row r="41" spans="1:3" ht="15" customHeight="1" x14ac:dyDescent="0.35">
      <c r="A41" s="16" t="s">
        <v>46</v>
      </c>
      <c r="B41" s="16"/>
      <c r="C41" s="20"/>
    </row>
    <row r="42" spans="1:3" ht="15" customHeight="1" x14ac:dyDescent="0.35">
      <c r="A42" s="16" t="s">
        <v>47</v>
      </c>
      <c r="B42" s="16"/>
      <c r="C42" s="20"/>
    </row>
    <row r="43" spans="1:3" ht="15" customHeight="1" x14ac:dyDescent="0.35">
      <c r="A43" s="16" t="s">
        <v>48</v>
      </c>
      <c r="B43" s="16"/>
      <c r="C43" s="20"/>
    </row>
  </sheetData>
  <mergeCells count="23">
    <mergeCell ref="A27:C27"/>
    <mergeCell ref="A29:C29"/>
    <mergeCell ref="A30:C31"/>
    <mergeCell ref="A22:C22"/>
    <mergeCell ref="A23:C23"/>
    <mergeCell ref="A24:C24"/>
    <mergeCell ref="A25:C25"/>
    <mergeCell ref="A26:C26"/>
    <mergeCell ref="B12:C12"/>
    <mergeCell ref="A14:C14"/>
    <mergeCell ref="A15:C18"/>
    <mergeCell ref="A20:C20"/>
    <mergeCell ref="A21:C21"/>
    <mergeCell ref="B7:C7"/>
    <mergeCell ref="B8:C8"/>
    <mergeCell ref="B9:C9"/>
    <mergeCell ref="B10:C10"/>
    <mergeCell ref="B11:C11"/>
    <mergeCell ref="A1:C1"/>
    <mergeCell ref="A3:C3"/>
    <mergeCell ref="B4:C4"/>
    <mergeCell ref="B5:C5"/>
    <mergeCell ref="B6:C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7"/>
  <sheetViews>
    <sheetView showGridLines="0" zoomScaleNormal="100" workbookViewId="0">
      <pane ySplit="2" topLeftCell="A12" activePane="bottomLeft" state="frozen"/>
      <selection pane="bottomLeft" activeCell="C4" sqref="C4"/>
    </sheetView>
  </sheetViews>
  <sheetFormatPr defaultColWidth="8.6328125" defaultRowHeight="14.5" x14ac:dyDescent="0.35"/>
  <cols>
    <col min="1" max="1" width="9" customWidth="1"/>
    <col min="2" max="2" width="15" customWidth="1"/>
    <col min="3" max="3" width="28" customWidth="1"/>
    <col min="4" max="4" width="30" customWidth="1"/>
    <col min="5" max="5" width="16" customWidth="1"/>
    <col min="6" max="6" width="30" customWidth="1"/>
    <col min="7" max="7" width="34" customWidth="1"/>
    <col min="8" max="10" width="11" customWidth="1"/>
    <col min="11" max="11" width="12" customWidth="1"/>
    <col min="12" max="12" width="13" customWidth="1"/>
  </cols>
  <sheetData>
    <row r="1" spans="1:12" ht="27.75" customHeight="1" x14ac:dyDescent="0.35">
      <c r="A1" s="14" t="s">
        <v>49</v>
      </c>
      <c r="B1" s="14"/>
      <c r="C1" s="14"/>
      <c r="D1" s="14"/>
      <c r="E1" s="14"/>
      <c r="F1" s="14"/>
      <c r="G1" s="14"/>
      <c r="H1" s="14"/>
      <c r="I1" s="14"/>
      <c r="J1" s="14"/>
      <c r="K1" s="14"/>
      <c r="L1" s="14"/>
    </row>
    <row r="2" spans="1:12" ht="33.75" customHeight="1" x14ac:dyDescent="0.35">
      <c r="A2" s="21" t="s">
        <v>50</v>
      </c>
      <c r="B2" s="21" t="s">
        <v>51</v>
      </c>
      <c r="C2" s="21" t="s">
        <v>52</v>
      </c>
      <c r="D2" s="21" t="s">
        <v>53</v>
      </c>
      <c r="E2" s="21" t="s">
        <v>54</v>
      </c>
      <c r="F2" s="21" t="s">
        <v>55</v>
      </c>
      <c r="G2" s="21" t="s">
        <v>56</v>
      </c>
      <c r="H2" s="21" t="s">
        <v>57</v>
      </c>
      <c r="I2" s="21" t="s">
        <v>58</v>
      </c>
      <c r="J2" s="21" t="s">
        <v>59</v>
      </c>
      <c r="K2" s="21" t="s">
        <v>60</v>
      </c>
      <c r="L2" s="21" t="s">
        <v>61</v>
      </c>
    </row>
    <row r="3" spans="1:12" ht="57.75" customHeight="1" x14ac:dyDescent="0.35">
      <c r="A3" s="22" t="s">
        <v>62</v>
      </c>
      <c r="B3" s="16" t="s">
        <v>63</v>
      </c>
      <c r="C3" s="16" t="s">
        <v>64</v>
      </c>
      <c r="D3" s="17" t="s">
        <v>65</v>
      </c>
      <c r="E3" s="16" t="s">
        <v>66</v>
      </c>
      <c r="F3" s="16" t="s">
        <v>67</v>
      </c>
      <c r="G3" s="16" t="s">
        <v>68</v>
      </c>
      <c r="H3" s="23" t="s">
        <v>69</v>
      </c>
      <c r="I3" s="22" t="s">
        <v>70</v>
      </c>
      <c r="J3" s="22" t="s">
        <v>71</v>
      </c>
      <c r="K3" s="16" t="s">
        <v>13</v>
      </c>
      <c r="L3" s="45">
        <v>46289</v>
      </c>
    </row>
    <row r="4" spans="1:12" ht="57.75" customHeight="1" x14ac:dyDescent="0.35">
      <c r="A4" s="24" t="s">
        <v>72</v>
      </c>
      <c r="B4" s="25" t="s">
        <v>63</v>
      </c>
      <c r="C4" s="25" t="s">
        <v>73</v>
      </c>
      <c r="D4" s="26" t="s">
        <v>74</v>
      </c>
      <c r="E4" s="25" t="s">
        <v>66</v>
      </c>
      <c r="F4" s="25" t="s">
        <v>75</v>
      </c>
      <c r="G4" s="25" t="s">
        <v>76</v>
      </c>
      <c r="H4" s="23" t="s">
        <v>69</v>
      </c>
      <c r="I4" s="24" t="s">
        <v>70</v>
      </c>
      <c r="J4" s="24" t="s">
        <v>77</v>
      </c>
      <c r="K4" s="25" t="s">
        <v>13</v>
      </c>
      <c r="L4" s="46">
        <v>46289</v>
      </c>
    </row>
    <row r="5" spans="1:12" ht="57.75" customHeight="1" x14ac:dyDescent="0.35">
      <c r="A5" s="22" t="s">
        <v>78</v>
      </c>
      <c r="B5" s="16" t="s">
        <v>63</v>
      </c>
      <c r="C5" s="16" t="s">
        <v>79</v>
      </c>
      <c r="D5" s="17" t="s">
        <v>80</v>
      </c>
      <c r="E5" s="16" t="s">
        <v>66</v>
      </c>
      <c r="F5" s="16" t="s">
        <v>81</v>
      </c>
      <c r="G5" s="16" t="s">
        <v>82</v>
      </c>
      <c r="H5" s="23" t="s">
        <v>69</v>
      </c>
      <c r="I5" s="22" t="s">
        <v>77</v>
      </c>
      <c r="J5" s="22" t="s">
        <v>71</v>
      </c>
      <c r="K5" s="16" t="s">
        <v>13</v>
      </c>
      <c r="L5" s="47">
        <v>46289</v>
      </c>
    </row>
    <row r="6" spans="1:12" ht="57.75" customHeight="1" x14ac:dyDescent="0.35">
      <c r="A6" s="24" t="s">
        <v>83</v>
      </c>
      <c r="B6" s="25" t="s">
        <v>84</v>
      </c>
      <c r="C6" s="25" t="s">
        <v>85</v>
      </c>
      <c r="D6" s="26" t="s">
        <v>86</v>
      </c>
      <c r="E6" s="25" t="s">
        <v>87</v>
      </c>
      <c r="F6" s="25" t="s">
        <v>88</v>
      </c>
      <c r="G6" s="25" t="s">
        <v>89</v>
      </c>
      <c r="H6" s="23" t="s">
        <v>69</v>
      </c>
      <c r="I6" s="24" t="s">
        <v>77</v>
      </c>
      <c r="J6" s="24" t="s">
        <v>71</v>
      </c>
      <c r="K6" s="25" t="s">
        <v>13</v>
      </c>
      <c r="L6" s="47">
        <v>46289</v>
      </c>
    </row>
    <row r="7" spans="1:12" ht="57.75" customHeight="1" x14ac:dyDescent="0.35">
      <c r="A7" s="22" t="s">
        <v>90</v>
      </c>
      <c r="B7" s="16" t="s">
        <v>84</v>
      </c>
      <c r="C7" s="16" t="s">
        <v>91</v>
      </c>
      <c r="D7" s="17" t="s">
        <v>92</v>
      </c>
      <c r="E7" s="16" t="s">
        <v>93</v>
      </c>
      <c r="F7" s="16" t="s">
        <v>94</v>
      </c>
      <c r="G7" s="16" t="s">
        <v>95</v>
      </c>
      <c r="H7" s="23" t="s">
        <v>69</v>
      </c>
      <c r="I7" s="22" t="s">
        <v>70</v>
      </c>
      <c r="J7" s="22" t="s">
        <v>77</v>
      </c>
      <c r="K7" s="16" t="s">
        <v>13</v>
      </c>
      <c r="L7" s="47">
        <v>46289</v>
      </c>
    </row>
    <row r="8" spans="1:12" ht="57.75" customHeight="1" x14ac:dyDescent="0.35">
      <c r="A8" s="24" t="s">
        <v>96</v>
      </c>
      <c r="B8" s="25" t="s">
        <v>84</v>
      </c>
      <c r="C8" s="25" t="s">
        <v>97</v>
      </c>
      <c r="D8" s="26" t="s">
        <v>98</v>
      </c>
      <c r="E8" s="25" t="s">
        <v>99</v>
      </c>
      <c r="F8" s="25" t="s">
        <v>100</v>
      </c>
      <c r="G8" s="25" t="s">
        <v>101</v>
      </c>
      <c r="H8" s="23" t="s">
        <v>69</v>
      </c>
      <c r="I8" s="24" t="s">
        <v>70</v>
      </c>
      <c r="J8" s="24" t="s">
        <v>70</v>
      </c>
      <c r="K8" s="25" t="s">
        <v>13</v>
      </c>
      <c r="L8" s="47">
        <v>46289</v>
      </c>
    </row>
    <row r="9" spans="1:12" ht="57.75" customHeight="1" x14ac:dyDescent="0.35">
      <c r="A9" s="22" t="s">
        <v>102</v>
      </c>
      <c r="B9" s="16" t="s">
        <v>84</v>
      </c>
      <c r="C9" s="16" t="s">
        <v>103</v>
      </c>
      <c r="D9" s="17" t="s">
        <v>104</v>
      </c>
      <c r="E9" s="16" t="s">
        <v>105</v>
      </c>
      <c r="F9" s="16" t="s">
        <v>106</v>
      </c>
      <c r="G9" s="16" t="s">
        <v>107</v>
      </c>
      <c r="H9" s="27" t="s">
        <v>108</v>
      </c>
      <c r="I9" s="22" t="s">
        <v>71</v>
      </c>
      <c r="J9" s="22" t="s">
        <v>71</v>
      </c>
      <c r="K9" s="16" t="s">
        <v>13</v>
      </c>
      <c r="L9" s="47">
        <v>46289</v>
      </c>
    </row>
    <row r="10" spans="1:12" ht="57.75" customHeight="1" x14ac:dyDescent="0.35">
      <c r="A10" s="24" t="s">
        <v>109</v>
      </c>
      <c r="B10" s="25" t="s">
        <v>110</v>
      </c>
      <c r="C10" s="25" t="s">
        <v>111</v>
      </c>
      <c r="D10" s="26" t="s">
        <v>112</v>
      </c>
      <c r="E10" s="25" t="s">
        <v>66</v>
      </c>
      <c r="F10" s="25" t="s">
        <v>113</v>
      </c>
      <c r="G10" s="25" t="s">
        <v>114</v>
      </c>
      <c r="H10" s="23" t="s">
        <v>69</v>
      </c>
      <c r="I10" s="24" t="s">
        <v>77</v>
      </c>
      <c r="J10" s="24" t="s">
        <v>71</v>
      </c>
      <c r="K10" s="25" t="s">
        <v>13</v>
      </c>
      <c r="L10" s="47">
        <v>46289</v>
      </c>
    </row>
    <row r="11" spans="1:12" ht="57.75" customHeight="1" x14ac:dyDescent="0.35">
      <c r="A11" s="22" t="s">
        <v>115</v>
      </c>
      <c r="B11" s="16" t="s">
        <v>110</v>
      </c>
      <c r="C11" s="16" t="s">
        <v>116</v>
      </c>
      <c r="D11" s="17" t="s">
        <v>117</v>
      </c>
      <c r="E11" s="16" t="s">
        <v>66</v>
      </c>
      <c r="F11" s="16" t="s">
        <v>118</v>
      </c>
      <c r="G11" s="16" t="s">
        <v>119</v>
      </c>
      <c r="H11" s="23" t="s">
        <v>69</v>
      </c>
      <c r="I11" s="22" t="s">
        <v>77</v>
      </c>
      <c r="J11" s="22" t="s">
        <v>71</v>
      </c>
      <c r="K11" s="16" t="s">
        <v>13</v>
      </c>
      <c r="L11" s="47">
        <v>46289</v>
      </c>
    </row>
    <row r="12" spans="1:12" ht="57.75" customHeight="1" x14ac:dyDescent="0.35">
      <c r="A12" s="24" t="s">
        <v>120</v>
      </c>
      <c r="B12" s="25" t="s">
        <v>110</v>
      </c>
      <c r="C12" s="25" t="s">
        <v>121</v>
      </c>
      <c r="D12" s="26" t="s">
        <v>122</v>
      </c>
      <c r="E12" s="25" t="s">
        <v>66</v>
      </c>
      <c r="F12" s="25" t="s">
        <v>123</v>
      </c>
      <c r="G12" s="25" t="s">
        <v>124</v>
      </c>
      <c r="H12" s="23" t="s">
        <v>69</v>
      </c>
      <c r="I12" s="24" t="s">
        <v>77</v>
      </c>
      <c r="J12" s="24" t="s">
        <v>71</v>
      </c>
      <c r="K12" s="25" t="s">
        <v>13</v>
      </c>
      <c r="L12" s="47">
        <v>46289</v>
      </c>
    </row>
    <row r="13" spans="1:12" ht="57.75" customHeight="1" x14ac:dyDescent="0.35">
      <c r="A13" s="22" t="s">
        <v>125</v>
      </c>
      <c r="B13" s="16" t="s">
        <v>126</v>
      </c>
      <c r="C13" s="16" t="s">
        <v>127</v>
      </c>
      <c r="D13" s="17" t="s">
        <v>128</v>
      </c>
      <c r="E13" s="16" t="s">
        <v>129</v>
      </c>
      <c r="F13" s="16" t="s">
        <v>130</v>
      </c>
      <c r="G13" s="16" t="s">
        <v>131</v>
      </c>
      <c r="H13" s="23" t="s">
        <v>69</v>
      </c>
      <c r="I13" s="22" t="s">
        <v>77</v>
      </c>
      <c r="J13" s="22" t="s">
        <v>77</v>
      </c>
      <c r="K13" s="16" t="s">
        <v>13</v>
      </c>
      <c r="L13" s="47">
        <v>46289</v>
      </c>
    </row>
    <row r="14" spans="1:12" ht="57.75" customHeight="1" x14ac:dyDescent="0.35">
      <c r="A14" s="24" t="s">
        <v>132</v>
      </c>
      <c r="B14" s="25" t="s">
        <v>126</v>
      </c>
      <c r="C14" s="25" t="s">
        <v>133</v>
      </c>
      <c r="D14" s="26" t="s">
        <v>134</v>
      </c>
      <c r="E14" s="25" t="s">
        <v>135</v>
      </c>
      <c r="F14" s="25" t="s">
        <v>136</v>
      </c>
      <c r="G14" s="25" t="s">
        <v>137</v>
      </c>
      <c r="H14" s="23" t="s">
        <v>69</v>
      </c>
      <c r="I14" s="24" t="s">
        <v>77</v>
      </c>
      <c r="J14" s="24" t="s">
        <v>77</v>
      </c>
      <c r="K14" s="25" t="s">
        <v>13</v>
      </c>
      <c r="L14" s="47">
        <v>46289</v>
      </c>
    </row>
    <row r="15" spans="1:12" ht="57.75" customHeight="1" x14ac:dyDescent="0.35">
      <c r="A15" s="22" t="s">
        <v>138</v>
      </c>
      <c r="B15" s="16" t="s">
        <v>126</v>
      </c>
      <c r="C15" s="16" t="s">
        <v>139</v>
      </c>
      <c r="D15" s="17" t="s">
        <v>140</v>
      </c>
      <c r="E15" s="16" t="s">
        <v>66</v>
      </c>
      <c r="F15" s="16" t="s">
        <v>141</v>
      </c>
      <c r="G15" s="16" t="s">
        <v>142</v>
      </c>
      <c r="H15" s="27" t="s">
        <v>108</v>
      </c>
      <c r="I15" s="22" t="s">
        <v>77</v>
      </c>
      <c r="J15" s="22" t="s">
        <v>71</v>
      </c>
      <c r="K15" s="16" t="s">
        <v>13</v>
      </c>
      <c r="L15" s="47">
        <v>46289</v>
      </c>
    </row>
    <row r="16" spans="1:12" ht="57.75" customHeight="1" x14ac:dyDescent="0.35">
      <c r="A16" s="24" t="s">
        <v>143</v>
      </c>
      <c r="B16" s="25" t="s">
        <v>126</v>
      </c>
      <c r="C16" s="25" t="s">
        <v>144</v>
      </c>
      <c r="D16" s="26" t="s">
        <v>145</v>
      </c>
      <c r="E16" s="25" t="s">
        <v>66</v>
      </c>
      <c r="F16" s="25" t="s">
        <v>146</v>
      </c>
      <c r="G16" s="25" t="s">
        <v>147</v>
      </c>
      <c r="H16" s="23" t="s">
        <v>69</v>
      </c>
      <c r="I16" s="24" t="s">
        <v>70</v>
      </c>
      <c r="J16" s="24" t="s">
        <v>77</v>
      </c>
      <c r="K16" s="25" t="s">
        <v>13</v>
      </c>
      <c r="L16" s="47">
        <v>46289</v>
      </c>
    </row>
    <row r="17" spans="1:12" ht="57.75" customHeight="1" x14ac:dyDescent="0.35">
      <c r="A17" s="22" t="s">
        <v>148</v>
      </c>
      <c r="B17" s="16" t="s">
        <v>149</v>
      </c>
      <c r="C17" s="16" t="s">
        <v>150</v>
      </c>
      <c r="D17" s="17" t="s">
        <v>151</v>
      </c>
      <c r="E17" s="16" t="s">
        <v>66</v>
      </c>
      <c r="F17" s="16" t="s">
        <v>152</v>
      </c>
      <c r="G17" s="16" t="s">
        <v>153</v>
      </c>
      <c r="H17" s="23" t="s">
        <v>69</v>
      </c>
      <c r="I17" s="22" t="s">
        <v>77</v>
      </c>
      <c r="J17" s="22" t="s">
        <v>71</v>
      </c>
      <c r="K17" s="16" t="s">
        <v>13</v>
      </c>
      <c r="L17" s="47">
        <v>46289</v>
      </c>
    </row>
    <row r="18" spans="1:12" ht="57.75" customHeight="1" x14ac:dyDescent="0.35">
      <c r="A18" s="24" t="s">
        <v>154</v>
      </c>
      <c r="B18" s="25" t="s">
        <v>149</v>
      </c>
      <c r="C18" s="25" t="s">
        <v>155</v>
      </c>
      <c r="D18" s="26" t="s">
        <v>156</v>
      </c>
      <c r="E18" s="25" t="s">
        <v>157</v>
      </c>
      <c r="F18" s="25" t="s">
        <v>158</v>
      </c>
      <c r="G18" s="25" t="s">
        <v>159</v>
      </c>
      <c r="H18" s="23" t="s">
        <v>69</v>
      </c>
      <c r="I18" s="24" t="s">
        <v>77</v>
      </c>
      <c r="J18" s="24" t="s">
        <v>71</v>
      </c>
      <c r="K18" s="25" t="s">
        <v>13</v>
      </c>
      <c r="L18" s="47">
        <v>46289</v>
      </c>
    </row>
    <row r="19" spans="1:12" ht="57.75" customHeight="1" x14ac:dyDescent="0.35">
      <c r="A19" s="22" t="s">
        <v>160</v>
      </c>
      <c r="B19" s="16" t="s">
        <v>149</v>
      </c>
      <c r="C19" s="16" t="s">
        <v>161</v>
      </c>
      <c r="D19" s="17" t="s">
        <v>162</v>
      </c>
      <c r="E19" s="16" t="s">
        <v>163</v>
      </c>
      <c r="F19" s="16" t="s">
        <v>164</v>
      </c>
      <c r="G19" s="16" t="s">
        <v>165</v>
      </c>
      <c r="H19" s="23" t="s">
        <v>69</v>
      </c>
      <c r="I19" s="22" t="s">
        <v>70</v>
      </c>
      <c r="J19" s="22" t="s">
        <v>77</v>
      </c>
      <c r="K19" s="16" t="s">
        <v>13</v>
      </c>
      <c r="L19" s="47">
        <v>46289</v>
      </c>
    </row>
    <row r="20" spans="1:12" ht="57.75" customHeight="1" x14ac:dyDescent="0.35">
      <c r="A20" s="24" t="s">
        <v>166</v>
      </c>
      <c r="B20" s="25" t="s">
        <v>167</v>
      </c>
      <c r="C20" s="25" t="s">
        <v>168</v>
      </c>
      <c r="D20" s="26" t="s">
        <v>169</v>
      </c>
      <c r="E20" s="25" t="s">
        <v>66</v>
      </c>
      <c r="F20" s="25" t="s">
        <v>170</v>
      </c>
      <c r="G20" s="25" t="s">
        <v>171</v>
      </c>
      <c r="H20" s="23" t="s">
        <v>69</v>
      </c>
      <c r="I20" s="24" t="s">
        <v>77</v>
      </c>
      <c r="J20" s="24" t="s">
        <v>77</v>
      </c>
      <c r="K20" s="25" t="s">
        <v>13</v>
      </c>
      <c r="L20" s="47">
        <v>46289</v>
      </c>
    </row>
    <row r="21" spans="1:12" ht="57.75" customHeight="1" x14ac:dyDescent="0.35">
      <c r="A21" s="22" t="s">
        <v>172</v>
      </c>
      <c r="B21" s="16" t="s">
        <v>167</v>
      </c>
      <c r="C21" s="16" t="s">
        <v>173</v>
      </c>
      <c r="D21" s="17" t="s">
        <v>174</v>
      </c>
      <c r="E21" s="16" t="s">
        <v>66</v>
      </c>
      <c r="F21" s="16" t="s">
        <v>175</v>
      </c>
      <c r="G21" s="16" t="s">
        <v>176</v>
      </c>
      <c r="H21" s="23" t="s">
        <v>69</v>
      </c>
      <c r="I21" s="22" t="s">
        <v>77</v>
      </c>
      <c r="J21" s="22" t="s">
        <v>77</v>
      </c>
      <c r="K21" s="16" t="s">
        <v>13</v>
      </c>
      <c r="L21" s="47">
        <v>46289</v>
      </c>
    </row>
    <row r="22" spans="1:12" ht="57.75" customHeight="1" x14ac:dyDescent="0.35">
      <c r="A22" s="24" t="s">
        <v>177</v>
      </c>
      <c r="B22" s="25" t="s">
        <v>167</v>
      </c>
      <c r="C22" s="25" t="s">
        <v>178</v>
      </c>
      <c r="D22" s="26" t="s">
        <v>179</v>
      </c>
      <c r="E22" s="25" t="s">
        <v>66</v>
      </c>
      <c r="F22" s="25" t="s">
        <v>180</v>
      </c>
      <c r="G22" s="25" t="s">
        <v>181</v>
      </c>
      <c r="H22" s="23" t="s">
        <v>69</v>
      </c>
      <c r="I22" s="24" t="s">
        <v>70</v>
      </c>
      <c r="J22" s="24" t="s">
        <v>77</v>
      </c>
      <c r="K22" s="25" t="s">
        <v>13</v>
      </c>
      <c r="L22" s="47">
        <v>46289</v>
      </c>
    </row>
    <row r="23" spans="1:12" ht="57.75" customHeight="1" x14ac:dyDescent="0.35">
      <c r="A23" s="22" t="s">
        <v>182</v>
      </c>
      <c r="B23" s="16" t="s">
        <v>183</v>
      </c>
      <c r="C23" s="16" t="s">
        <v>184</v>
      </c>
      <c r="D23" s="17" t="s">
        <v>185</v>
      </c>
      <c r="E23" s="16" t="s">
        <v>66</v>
      </c>
      <c r="F23" s="16" t="s">
        <v>186</v>
      </c>
      <c r="G23" s="16" t="s">
        <v>187</v>
      </c>
      <c r="H23" s="23" t="s">
        <v>69</v>
      </c>
      <c r="I23" s="22" t="s">
        <v>70</v>
      </c>
      <c r="J23" s="22" t="s">
        <v>77</v>
      </c>
      <c r="K23" s="16" t="s">
        <v>13</v>
      </c>
      <c r="L23" s="47">
        <v>46289</v>
      </c>
    </row>
    <row r="24" spans="1:12" ht="57.75" customHeight="1" x14ac:dyDescent="0.35">
      <c r="A24" s="24" t="s">
        <v>188</v>
      </c>
      <c r="B24" s="25" t="s">
        <v>183</v>
      </c>
      <c r="C24" s="25" t="s">
        <v>189</v>
      </c>
      <c r="D24" s="26" t="s">
        <v>190</v>
      </c>
      <c r="E24" s="25" t="s">
        <v>191</v>
      </c>
      <c r="F24" s="25" t="s">
        <v>192</v>
      </c>
      <c r="G24" s="25" t="s">
        <v>193</v>
      </c>
      <c r="H24" s="23" t="s">
        <v>69</v>
      </c>
      <c r="I24" s="24" t="s">
        <v>77</v>
      </c>
      <c r="J24" s="24" t="s">
        <v>77</v>
      </c>
      <c r="K24" s="25" t="s">
        <v>13</v>
      </c>
      <c r="L24" s="47">
        <v>46289</v>
      </c>
    </row>
    <row r="25" spans="1:12" ht="57.75" customHeight="1" x14ac:dyDescent="0.35">
      <c r="A25" s="22" t="s">
        <v>194</v>
      </c>
      <c r="B25" s="16" t="s">
        <v>195</v>
      </c>
      <c r="C25" s="16" t="s">
        <v>196</v>
      </c>
      <c r="D25" s="17" t="s">
        <v>197</v>
      </c>
      <c r="E25" s="16" t="s">
        <v>66</v>
      </c>
      <c r="F25" s="16" t="s">
        <v>198</v>
      </c>
      <c r="G25" s="16" t="s">
        <v>199</v>
      </c>
      <c r="H25" s="23" t="s">
        <v>69</v>
      </c>
      <c r="I25" s="22" t="s">
        <v>71</v>
      </c>
      <c r="J25" s="22" t="s">
        <v>71</v>
      </c>
      <c r="K25" s="16" t="s">
        <v>13</v>
      </c>
      <c r="L25" s="47">
        <v>46289</v>
      </c>
    </row>
    <row r="26" spans="1:12" ht="57.75" customHeight="1" x14ac:dyDescent="0.35">
      <c r="A26" s="24" t="s">
        <v>200</v>
      </c>
      <c r="B26" s="25" t="s">
        <v>195</v>
      </c>
      <c r="C26" s="25" t="s">
        <v>201</v>
      </c>
      <c r="D26" s="26" t="s">
        <v>202</v>
      </c>
      <c r="E26" s="25" t="s">
        <v>203</v>
      </c>
      <c r="F26" s="25" t="s">
        <v>204</v>
      </c>
      <c r="G26" s="25" t="s">
        <v>205</v>
      </c>
      <c r="H26" s="27" t="s">
        <v>108</v>
      </c>
      <c r="I26" s="24" t="s">
        <v>71</v>
      </c>
      <c r="J26" s="24" t="s">
        <v>71</v>
      </c>
      <c r="K26" s="25" t="s">
        <v>13</v>
      </c>
      <c r="L26" s="47">
        <v>46289</v>
      </c>
    </row>
    <row r="27" spans="1:12" ht="57.75" customHeight="1" x14ac:dyDescent="0.35">
      <c r="A27" s="22" t="s">
        <v>206</v>
      </c>
      <c r="B27" s="16" t="s">
        <v>195</v>
      </c>
      <c r="C27" s="16" t="s">
        <v>207</v>
      </c>
      <c r="D27" s="17" t="s">
        <v>208</v>
      </c>
      <c r="E27" s="16" t="s">
        <v>66</v>
      </c>
      <c r="F27" s="16" t="s">
        <v>209</v>
      </c>
      <c r="G27" s="16" t="s">
        <v>210</v>
      </c>
      <c r="H27" s="23" t="s">
        <v>69</v>
      </c>
      <c r="I27" s="22" t="s">
        <v>77</v>
      </c>
      <c r="J27" s="22" t="s">
        <v>77</v>
      </c>
      <c r="K27" s="16" t="s">
        <v>13</v>
      </c>
      <c r="L27" s="47">
        <v>46289</v>
      </c>
    </row>
    <row r="28" spans="1:12" ht="57.75" customHeight="1" x14ac:dyDescent="0.35">
      <c r="A28" s="24" t="s">
        <v>211</v>
      </c>
      <c r="B28" s="25" t="s">
        <v>195</v>
      </c>
      <c r="C28" s="25" t="s">
        <v>212</v>
      </c>
      <c r="D28" s="26" t="s">
        <v>213</v>
      </c>
      <c r="E28" s="25" t="s">
        <v>66</v>
      </c>
      <c r="F28" s="25" t="s">
        <v>214</v>
      </c>
      <c r="G28" s="25" t="s">
        <v>215</v>
      </c>
      <c r="H28" s="23" t="s">
        <v>69</v>
      </c>
      <c r="I28" s="24" t="s">
        <v>71</v>
      </c>
      <c r="J28" s="24" t="s">
        <v>71</v>
      </c>
      <c r="K28" s="25" t="s">
        <v>13</v>
      </c>
      <c r="L28" s="47">
        <v>46289</v>
      </c>
    </row>
    <row r="29" spans="1:12" ht="57.75" customHeight="1" x14ac:dyDescent="0.35">
      <c r="A29" s="22" t="s">
        <v>216</v>
      </c>
      <c r="B29" s="16" t="s">
        <v>217</v>
      </c>
      <c r="C29" s="16" t="s">
        <v>218</v>
      </c>
      <c r="D29" s="17" t="s">
        <v>219</v>
      </c>
      <c r="E29" s="16" t="s">
        <v>220</v>
      </c>
      <c r="F29" s="16" t="s">
        <v>221</v>
      </c>
      <c r="G29" s="16" t="s">
        <v>222</v>
      </c>
      <c r="H29" s="23" t="s">
        <v>69</v>
      </c>
      <c r="I29" s="22" t="s">
        <v>77</v>
      </c>
      <c r="J29" s="22" t="s">
        <v>71</v>
      </c>
      <c r="K29" s="16" t="s">
        <v>13</v>
      </c>
      <c r="L29" s="47">
        <v>46289</v>
      </c>
    </row>
    <row r="30" spans="1:12" ht="57.75" customHeight="1" x14ac:dyDescent="0.35">
      <c r="A30" s="24" t="s">
        <v>223</v>
      </c>
      <c r="B30" s="25" t="s">
        <v>217</v>
      </c>
      <c r="C30" s="25" t="s">
        <v>224</v>
      </c>
      <c r="D30" s="26" t="s">
        <v>225</v>
      </c>
      <c r="E30" s="25" t="s">
        <v>66</v>
      </c>
      <c r="F30" s="25" t="s">
        <v>226</v>
      </c>
      <c r="G30" s="25" t="s">
        <v>227</v>
      </c>
      <c r="H30" s="23" t="s">
        <v>69</v>
      </c>
      <c r="I30" s="24" t="s">
        <v>77</v>
      </c>
      <c r="J30" s="24" t="s">
        <v>77</v>
      </c>
      <c r="K30" s="25" t="s">
        <v>13</v>
      </c>
      <c r="L30" s="47">
        <v>46289</v>
      </c>
    </row>
    <row r="31" spans="1:12" ht="57.75" customHeight="1" x14ac:dyDescent="0.35">
      <c r="A31" s="22" t="s">
        <v>228</v>
      </c>
      <c r="B31" s="16" t="s">
        <v>229</v>
      </c>
      <c r="C31" s="16" t="s">
        <v>230</v>
      </c>
      <c r="D31" s="17" t="s">
        <v>231</v>
      </c>
      <c r="E31" s="16" t="s">
        <v>66</v>
      </c>
      <c r="F31" s="16" t="s">
        <v>232</v>
      </c>
      <c r="G31" s="16" t="s">
        <v>233</v>
      </c>
      <c r="H31" s="23" t="s">
        <v>69</v>
      </c>
      <c r="I31" s="22" t="s">
        <v>71</v>
      </c>
      <c r="J31" s="22" t="s">
        <v>71</v>
      </c>
      <c r="K31" s="16" t="s">
        <v>13</v>
      </c>
      <c r="L31" s="47">
        <v>46289</v>
      </c>
    </row>
    <row r="32" spans="1:12" ht="57.75" customHeight="1" x14ac:dyDescent="0.35">
      <c r="A32" s="24" t="s">
        <v>234</v>
      </c>
      <c r="B32" s="25" t="s">
        <v>229</v>
      </c>
      <c r="C32" s="25" t="s">
        <v>235</v>
      </c>
      <c r="D32" s="26" t="s">
        <v>236</v>
      </c>
      <c r="E32" s="25" t="s">
        <v>66</v>
      </c>
      <c r="F32" s="25" t="s">
        <v>237</v>
      </c>
      <c r="G32" s="25" t="s">
        <v>238</v>
      </c>
      <c r="H32" s="23" t="s">
        <v>69</v>
      </c>
      <c r="I32" s="24" t="s">
        <v>71</v>
      </c>
      <c r="J32" s="24" t="s">
        <v>71</v>
      </c>
      <c r="K32" s="25" t="s">
        <v>13</v>
      </c>
      <c r="L32" s="47">
        <v>46289</v>
      </c>
    </row>
    <row r="34" spans="1:1" ht="15" customHeight="1" x14ac:dyDescent="0.35">
      <c r="A34" s="28"/>
    </row>
    <row r="35" spans="1:1" ht="15" customHeight="1" x14ac:dyDescent="0.35"/>
    <row r="36" spans="1:1" ht="15" customHeight="1" x14ac:dyDescent="0.35"/>
    <row r="105" spans="1:12" ht="15" customHeight="1" x14ac:dyDescent="0.35">
      <c r="A105" s="10" t="s">
        <v>239</v>
      </c>
      <c r="B105" s="10"/>
      <c r="C105" s="10"/>
      <c r="D105" s="10"/>
      <c r="E105" s="10"/>
      <c r="F105" s="10"/>
      <c r="G105" s="10"/>
      <c r="H105" s="10"/>
      <c r="I105" s="10"/>
      <c r="J105" s="10"/>
      <c r="K105" s="10"/>
      <c r="L105" s="10"/>
    </row>
    <row r="106" spans="1:12" ht="15" customHeight="1" x14ac:dyDescent="0.35">
      <c r="A106" s="10"/>
      <c r="B106" s="10"/>
      <c r="C106" s="10"/>
      <c r="D106" s="10"/>
      <c r="E106" s="10"/>
      <c r="F106" s="10"/>
      <c r="G106" s="10"/>
      <c r="H106" s="10"/>
      <c r="I106" s="10"/>
      <c r="J106" s="10"/>
      <c r="K106" s="10"/>
      <c r="L106" s="10"/>
    </row>
    <row r="107" spans="1:12" ht="15" customHeight="1" x14ac:dyDescent="0.35">
      <c r="A107" s="10"/>
      <c r="B107" s="10"/>
      <c r="C107" s="10"/>
      <c r="D107" s="10"/>
      <c r="E107" s="10"/>
      <c r="F107" s="10"/>
      <c r="G107" s="10"/>
      <c r="H107" s="10"/>
      <c r="I107" s="10"/>
      <c r="J107" s="10"/>
      <c r="K107" s="10"/>
      <c r="L107" s="10"/>
    </row>
  </sheetData>
  <mergeCells count="2">
    <mergeCell ref="A1:L1"/>
    <mergeCell ref="A105:L107"/>
  </mergeCells>
  <dataValidations count="3">
    <dataValidation type="list" sqref="H3:H32" xr:uid="{00000000-0002-0000-0100-000000000000}">
      <formula1>"Pass,Fail,Blocked,Not Executed"</formula1>
      <formula2>0</formula2>
    </dataValidation>
    <dataValidation type="list" sqref="I3:I32" xr:uid="{00000000-0002-0000-0100-000001000000}">
      <formula1>"Critical,High,Medium,Low"</formula1>
      <formula2>0</formula2>
    </dataValidation>
    <dataValidation type="list" sqref="J3:J32" xr:uid="{00000000-0002-0000-0100-000002000000}">
      <formula1>"High,Medium,Low"</formula1>
      <formula2>0</formula2>
    </dataValidation>
  </dataValidations>
  <pageMargins left="0.75" right="0.75" top="1" bottom="1"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6"/>
  <sheetViews>
    <sheetView showGridLines="0" topLeftCell="E1" zoomScaleNormal="100" workbookViewId="0">
      <pane ySplit="2" topLeftCell="A3" activePane="bottomLeft" state="frozen"/>
      <selection pane="bottomLeft" activeCell="H9" sqref="H9"/>
    </sheetView>
  </sheetViews>
  <sheetFormatPr defaultColWidth="8.6328125" defaultRowHeight="14.5" x14ac:dyDescent="0.35"/>
  <cols>
    <col min="1" max="1" width="11" customWidth="1"/>
    <col min="2" max="2" width="12" customWidth="1"/>
    <col min="3" max="3" width="15" customWidth="1"/>
    <col min="4" max="4" width="30" customWidth="1"/>
    <col min="5" max="5" width="38" customWidth="1"/>
    <col min="6" max="6" width="30" customWidth="1"/>
    <col min="7" max="9" width="11" customWidth="1"/>
    <col min="10" max="10" width="12" customWidth="1"/>
    <col min="11" max="12" width="13" customWidth="1"/>
  </cols>
  <sheetData>
    <row r="1" spans="1:12" ht="27.75" customHeight="1" x14ac:dyDescent="0.35">
      <c r="A1" s="14" t="s">
        <v>240</v>
      </c>
      <c r="B1" s="14"/>
      <c r="C1" s="14"/>
      <c r="D1" s="14"/>
      <c r="E1" s="14"/>
      <c r="F1" s="14"/>
      <c r="G1" s="14"/>
      <c r="H1" s="14"/>
      <c r="I1" s="14"/>
      <c r="J1" s="14"/>
      <c r="K1" s="14"/>
      <c r="L1" s="14"/>
    </row>
    <row r="2" spans="1:12" ht="31.5" customHeight="1" x14ac:dyDescent="0.35">
      <c r="A2" s="21" t="s">
        <v>241</v>
      </c>
      <c r="B2" s="21" t="s">
        <v>242</v>
      </c>
      <c r="C2" s="21" t="s">
        <v>51</v>
      </c>
      <c r="D2" s="21" t="s">
        <v>243</v>
      </c>
      <c r="E2" s="21" t="s">
        <v>244</v>
      </c>
      <c r="F2" s="21" t="s">
        <v>245</v>
      </c>
      <c r="G2" s="21" t="s">
        <v>58</v>
      </c>
      <c r="H2" s="21" t="s">
        <v>59</v>
      </c>
      <c r="I2" s="21" t="s">
        <v>57</v>
      </c>
      <c r="J2" s="21" t="s">
        <v>246</v>
      </c>
      <c r="K2" s="21" t="s">
        <v>247</v>
      </c>
      <c r="L2" s="21" t="s">
        <v>248</v>
      </c>
    </row>
    <row r="3" spans="1:12" ht="67.5" customHeight="1" x14ac:dyDescent="0.35">
      <c r="A3" s="22" t="s">
        <v>249</v>
      </c>
      <c r="B3" s="22" t="s">
        <v>102</v>
      </c>
      <c r="C3" s="16" t="s">
        <v>84</v>
      </c>
      <c r="D3" s="16" t="s">
        <v>250</v>
      </c>
      <c r="E3" s="17" t="s">
        <v>251</v>
      </c>
      <c r="F3" s="17" t="s">
        <v>252</v>
      </c>
      <c r="G3" s="27" t="s">
        <v>71</v>
      </c>
      <c r="H3" s="22" t="s">
        <v>71</v>
      </c>
      <c r="I3" s="29" t="s">
        <v>253</v>
      </c>
      <c r="J3" s="22" t="s">
        <v>13</v>
      </c>
      <c r="K3" s="48" t="s">
        <v>348</v>
      </c>
      <c r="L3" s="22" t="s">
        <v>254</v>
      </c>
    </row>
    <row r="4" spans="1:12" ht="67.5" customHeight="1" x14ac:dyDescent="0.35">
      <c r="A4" s="24" t="s">
        <v>255</v>
      </c>
      <c r="B4" s="24" t="s">
        <v>200</v>
      </c>
      <c r="C4" s="25" t="s">
        <v>195</v>
      </c>
      <c r="D4" s="25" t="s">
        <v>256</v>
      </c>
      <c r="E4" s="26" t="s">
        <v>257</v>
      </c>
      <c r="F4" s="26" t="s">
        <v>258</v>
      </c>
      <c r="G4" s="27" t="s">
        <v>71</v>
      </c>
      <c r="H4" s="24" t="s">
        <v>71</v>
      </c>
      <c r="I4" s="29" t="s">
        <v>253</v>
      </c>
      <c r="J4" s="24" t="s">
        <v>13</v>
      </c>
      <c r="K4" s="49" t="s">
        <v>348</v>
      </c>
      <c r="L4" s="24" t="s">
        <v>254</v>
      </c>
    </row>
    <row r="6" spans="1:12" ht="15" customHeight="1" x14ac:dyDescent="0.35">
      <c r="A6" s="28"/>
    </row>
    <row r="7" spans="1:12" ht="15" customHeight="1" x14ac:dyDescent="0.35"/>
    <row r="105" spans="1:12" ht="15" customHeight="1" x14ac:dyDescent="0.35">
      <c r="A105" s="10" t="s">
        <v>259</v>
      </c>
      <c r="B105" s="10"/>
      <c r="C105" s="10"/>
      <c r="D105" s="10"/>
      <c r="E105" s="10"/>
      <c r="F105" s="10"/>
      <c r="G105" s="10"/>
      <c r="H105" s="10"/>
      <c r="I105" s="10"/>
      <c r="J105" s="10"/>
      <c r="K105" s="10"/>
      <c r="L105" s="10"/>
    </row>
    <row r="106" spans="1:12" ht="15" customHeight="1" x14ac:dyDescent="0.35">
      <c r="A106" s="10"/>
      <c r="B106" s="10"/>
      <c r="C106" s="10"/>
      <c r="D106" s="10"/>
      <c r="E106" s="10"/>
      <c r="F106" s="10"/>
      <c r="G106" s="10"/>
      <c r="H106" s="10"/>
      <c r="I106" s="10"/>
      <c r="J106" s="10"/>
      <c r="K106" s="10"/>
      <c r="L106" s="10"/>
    </row>
  </sheetData>
  <mergeCells count="2">
    <mergeCell ref="A1:L1"/>
    <mergeCell ref="A105:L10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7"/>
  <sheetViews>
    <sheetView showGridLines="0" topLeftCell="A27" zoomScaleNormal="100" workbookViewId="0">
      <selection activeCell="E42" sqref="E42"/>
    </sheetView>
  </sheetViews>
  <sheetFormatPr defaultColWidth="8.6328125" defaultRowHeight="14.5" x14ac:dyDescent="0.35"/>
  <cols>
    <col min="1" max="1" width="30" customWidth="1"/>
    <col min="2" max="3" width="14" customWidth="1"/>
    <col min="4" max="4" width="20" customWidth="1"/>
  </cols>
  <sheetData>
    <row r="1" spans="1:4" ht="27.75" customHeight="1" x14ac:dyDescent="0.35">
      <c r="A1" s="14" t="s">
        <v>260</v>
      </c>
      <c r="B1" s="14"/>
      <c r="C1" s="14"/>
      <c r="D1" s="14"/>
    </row>
    <row r="3" spans="1:4" ht="19.5" customHeight="1" x14ac:dyDescent="0.35">
      <c r="A3" s="13" t="s">
        <v>261</v>
      </c>
      <c r="B3" s="13"/>
      <c r="C3" s="13"/>
      <c r="D3" s="13"/>
    </row>
    <row r="4" spans="1:4" ht="18" customHeight="1" x14ac:dyDescent="0.35">
      <c r="A4" s="9" t="s">
        <v>262</v>
      </c>
      <c r="B4" s="9"/>
      <c r="C4" s="9"/>
      <c r="D4" s="30">
        <f>COUNTA('Test Cases'!$A$3:$A$100)</f>
        <v>30</v>
      </c>
    </row>
    <row r="5" spans="1:4" ht="18" customHeight="1" x14ac:dyDescent="0.35">
      <c r="A5" s="9" t="s">
        <v>263</v>
      </c>
      <c r="B5" s="9"/>
      <c r="C5" s="9"/>
      <c r="D5" s="30">
        <f>COUNTIFS('Test Cases'!$H$3:$H$100,"&lt;&gt;Not Executed",'Test Cases'!$H$3:$H$100,"&lt;&gt;")</f>
        <v>30</v>
      </c>
    </row>
    <row r="6" spans="1:4" ht="18" customHeight="1" x14ac:dyDescent="0.35">
      <c r="A6" s="9" t="s">
        <v>264</v>
      </c>
      <c r="B6" s="9"/>
      <c r="C6" s="9"/>
      <c r="D6" s="30">
        <f>COUNTIF('Test Cases'!$H$3:$H$100,"Pass")</f>
        <v>27</v>
      </c>
    </row>
    <row r="7" spans="1:4" ht="18" customHeight="1" x14ac:dyDescent="0.35">
      <c r="A7" s="9" t="s">
        <v>265</v>
      </c>
      <c r="B7" s="9"/>
      <c r="C7" s="9"/>
      <c r="D7" s="30">
        <f>COUNTIF('Test Cases'!$H$3:$H$100,"Fail")</f>
        <v>3</v>
      </c>
    </row>
    <row r="8" spans="1:4" ht="18" customHeight="1" x14ac:dyDescent="0.35">
      <c r="A8" s="9" t="s">
        <v>266</v>
      </c>
      <c r="B8" s="9"/>
      <c r="C8" s="9"/>
      <c r="D8" s="30">
        <f>COUNTIF('Test Cases'!$H$3:$H$100,"Blocked")</f>
        <v>0</v>
      </c>
    </row>
    <row r="9" spans="1:4" ht="18" customHeight="1" x14ac:dyDescent="0.35">
      <c r="A9" s="9" t="s">
        <v>267</v>
      </c>
      <c r="B9" s="9"/>
      <c r="C9" s="9"/>
      <c r="D9" s="30">
        <f>D4-D5</f>
        <v>0</v>
      </c>
    </row>
    <row r="10" spans="1:4" ht="18" customHeight="1" x14ac:dyDescent="0.35">
      <c r="A10" s="9" t="s">
        <v>268</v>
      </c>
      <c r="B10" s="9"/>
      <c r="C10" s="9"/>
      <c r="D10" s="31">
        <f>IFERROR(D5/D4,0)</f>
        <v>1</v>
      </c>
    </row>
    <row r="11" spans="1:4" ht="18" customHeight="1" x14ac:dyDescent="0.35">
      <c r="A11" s="9" t="s">
        <v>269</v>
      </c>
      <c r="B11" s="9"/>
      <c r="C11" s="9"/>
      <c r="D11" s="31">
        <f>IFERROR(D6/D5,0)</f>
        <v>0.9</v>
      </c>
    </row>
    <row r="12" spans="1:4" ht="18" customHeight="1" x14ac:dyDescent="0.35">
      <c r="A12" s="9" t="s">
        <v>270</v>
      </c>
      <c r="B12" s="9"/>
      <c r="C12" s="9"/>
      <c r="D12" s="31">
        <f>IFERROR(D7/D5,0)</f>
        <v>0.1</v>
      </c>
    </row>
    <row r="14" spans="1:4" ht="19.5" customHeight="1" x14ac:dyDescent="0.35">
      <c r="A14" s="13" t="s">
        <v>271</v>
      </c>
      <c r="B14" s="13"/>
      <c r="C14" s="13"/>
      <c r="D14" s="13"/>
    </row>
    <row r="15" spans="1:4" ht="15" customHeight="1" x14ac:dyDescent="0.35">
      <c r="A15" s="9" t="s">
        <v>272</v>
      </c>
      <c r="B15" s="9"/>
      <c r="C15" s="9"/>
      <c r="D15" s="32">
        <v>10</v>
      </c>
    </row>
    <row r="16" spans="1:4" ht="15" customHeight="1" x14ac:dyDescent="0.35">
      <c r="A16" s="9" t="s">
        <v>273</v>
      </c>
      <c r="B16" s="9"/>
      <c r="C16" s="9"/>
      <c r="D16" s="30">
        <f>SUMPRODUCT((COUNTIF('Test Cases'!$B$3:$B$100,'Test Cases'!$B$3:$B$100)&gt;0)/COUNTIF('Test Cases'!$B$3:$B$100,'Test Cases'!$B$3:$B$100&amp;""))</f>
        <v>9.9999999999999982</v>
      </c>
    </row>
    <row r="17" spans="1:4" ht="18" customHeight="1" x14ac:dyDescent="0.35">
      <c r="A17" s="9" t="s">
        <v>274</v>
      </c>
      <c r="B17" s="9"/>
      <c r="C17" s="9"/>
      <c r="D17" s="31">
        <f>IFERROR(D16/D15,0)</f>
        <v>0.99999999999999978</v>
      </c>
    </row>
    <row r="19" spans="1:4" ht="19.5" customHeight="1" x14ac:dyDescent="0.35">
      <c r="A19" s="13" t="s">
        <v>275</v>
      </c>
      <c r="B19" s="13"/>
      <c r="C19" s="13"/>
      <c r="D19" s="13"/>
    </row>
    <row r="20" spans="1:4" ht="18" customHeight="1" x14ac:dyDescent="0.35">
      <c r="A20" s="9" t="s">
        <v>276</v>
      </c>
      <c r="B20" s="9"/>
      <c r="C20" s="9"/>
      <c r="D20" s="30">
        <f>COUNTA('Defect Log'!$A$3:$A$100)</f>
        <v>2</v>
      </c>
    </row>
    <row r="21" spans="1:4" ht="18" customHeight="1" x14ac:dyDescent="0.35">
      <c r="A21" s="9" t="s">
        <v>277</v>
      </c>
      <c r="B21" s="9"/>
      <c r="C21" s="9"/>
      <c r="D21" s="30">
        <f>COUNTIF('Defect Log'!$I$3:$I$100,"Open")</f>
        <v>2</v>
      </c>
    </row>
    <row r="22" spans="1:4" ht="18" customHeight="1" x14ac:dyDescent="0.35">
      <c r="A22" s="9" t="s">
        <v>278</v>
      </c>
      <c r="B22" s="9"/>
      <c r="C22" s="9"/>
      <c r="D22" s="30">
        <f>COUNTIF('Defect Log'!$I$3:$I$100,"Closed")</f>
        <v>0</v>
      </c>
    </row>
    <row r="23" spans="1:4" ht="18" customHeight="1" x14ac:dyDescent="0.35">
      <c r="A23" s="9" t="s">
        <v>279</v>
      </c>
      <c r="B23" s="9"/>
      <c r="C23" s="9"/>
      <c r="D23" s="31">
        <f>IFERROR(D22/D20,0)</f>
        <v>0</v>
      </c>
    </row>
    <row r="24" spans="1:4" ht="18" customHeight="1" x14ac:dyDescent="0.35">
      <c r="A24" s="9" t="s">
        <v>280</v>
      </c>
      <c r="B24" s="9"/>
      <c r="C24" s="9"/>
      <c r="D24" s="30">
        <f>COUNTIF('Defect Log'!$G$3:$G$100,"Critical")</f>
        <v>0</v>
      </c>
    </row>
    <row r="25" spans="1:4" ht="18" customHeight="1" x14ac:dyDescent="0.35">
      <c r="A25" s="9" t="s">
        <v>281</v>
      </c>
      <c r="B25" s="9"/>
      <c r="C25" s="9"/>
      <c r="D25" s="30">
        <f>COUNTIF('Defect Log'!$G$3:$G$100,"High")</f>
        <v>2</v>
      </c>
    </row>
    <row r="26" spans="1:4" ht="18" customHeight="1" x14ac:dyDescent="0.35">
      <c r="A26" s="9" t="s">
        <v>282</v>
      </c>
      <c r="B26" s="9"/>
      <c r="C26" s="9"/>
      <c r="D26" s="30">
        <f>COUNTIF('Defect Log'!$G$3:$G$100,"Medium")</f>
        <v>0</v>
      </c>
    </row>
    <row r="27" spans="1:4" ht="18" customHeight="1" x14ac:dyDescent="0.35">
      <c r="A27" s="9" t="s">
        <v>283</v>
      </c>
      <c r="B27" s="9"/>
      <c r="C27" s="9"/>
      <c r="D27" s="30">
        <f>COUNTIF('Defect Log'!$G$3:$G$100,"Low")</f>
        <v>0</v>
      </c>
    </row>
    <row r="28" spans="1:4" ht="18" customHeight="1" x14ac:dyDescent="0.35">
      <c r="A28" s="9" t="s">
        <v>284</v>
      </c>
      <c r="B28" s="9"/>
      <c r="C28" s="9"/>
      <c r="D28" s="31">
        <f>IFERROR(D24/D20,0)</f>
        <v>0</v>
      </c>
    </row>
    <row r="29" spans="1:4" ht="15" customHeight="1" x14ac:dyDescent="0.35">
      <c r="A29" s="9" t="s">
        <v>285</v>
      </c>
      <c r="B29" s="9"/>
      <c r="C29" s="9"/>
      <c r="D29" s="32">
        <v>5</v>
      </c>
    </row>
    <row r="30" spans="1:4" ht="18" customHeight="1" x14ac:dyDescent="0.35">
      <c r="A30" s="9" t="s">
        <v>286</v>
      </c>
      <c r="B30" s="9"/>
      <c r="C30" s="9"/>
      <c r="D30" s="33">
        <f>IFERROR(D20/D29,0)</f>
        <v>0.4</v>
      </c>
    </row>
    <row r="32" spans="1:4" ht="19.5" customHeight="1" x14ac:dyDescent="0.35">
      <c r="A32" s="13" t="s">
        <v>287</v>
      </c>
      <c r="B32" s="13"/>
      <c r="C32" s="13"/>
      <c r="D32" s="13"/>
    </row>
    <row r="33" spans="1:4" ht="15" customHeight="1" x14ac:dyDescent="0.35">
      <c r="A33" s="15" t="s">
        <v>288</v>
      </c>
      <c r="B33">
        <v>3.6</v>
      </c>
      <c r="C33">
        <v>1.8</v>
      </c>
      <c r="D33">
        <v>2.4</v>
      </c>
    </row>
    <row r="34" spans="1:4" ht="15" customHeight="1" x14ac:dyDescent="0.35">
      <c r="A34" s="8" t="s">
        <v>289</v>
      </c>
      <c r="B34" s="8"/>
      <c r="C34" s="8"/>
    </row>
    <row r="35" spans="1:4" ht="15" customHeight="1" x14ac:dyDescent="0.35">
      <c r="A35" s="7" t="s">
        <v>290</v>
      </c>
      <c r="B35" s="7"/>
      <c r="C35" s="7"/>
      <c r="D35" s="34">
        <v>2.1</v>
      </c>
    </row>
    <row r="36" spans="1:4" ht="15" customHeight="1" x14ac:dyDescent="0.35">
      <c r="A36" s="7" t="s">
        <v>290</v>
      </c>
      <c r="B36" s="7"/>
      <c r="C36" s="7"/>
      <c r="D36" s="34">
        <v>1.8</v>
      </c>
    </row>
    <row r="37" spans="1:4" ht="15" customHeight="1" x14ac:dyDescent="0.35">
      <c r="A37" s="7" t="s">
        <v>290</v>
      </c>
      <c r="B37" s="7"/>
      <c r="C37" s="7"/>
      <c r="D37" s="34">
        <v>2.4</v>
      </c>
    </row>
    <row r="38" spans="1:4" ht="15" customHeight="1" x14ac:dyDescent="0.35">
      <c r="A38" s="7" t="s">
        <v>290</v>
      </c>
      <c r="B38" s="7"/>
      <c r="C38" s="7"/>
      <c r="D38" s="34">
        <v>2</v>
      </c>
    </row>
    <row r="39" spans="1:4" ht="15" customHeight="1" x14ac:dyDescent="0.35">
      <c r="A39" s="7" t="s">
        <v>290</v>
      </c>
      <c r="B39" s="7"/>
      <c r="C39" s="7"/>
      <c r="D39" s="34">
        <v>3.6</v>
      </c>
    </row>
    <row r="40" spans="1:4" ht="18" customHeight="1" x14ac:dyDescent="0.35">
      <c r="A40" s="9" t="s">
        <v>291</v>
      </c>
      <c r="B40" s="9"/>
      <c r="C40" s="9"/>
      <c r="D40" s="33">
        <f>AVERAGE(D35:D39)</f>
        <v>2.38</v>
      </c>
    </row>
    <row r="41" spans="1:4" ht="18" customHeight="1" x14ac:dyDescent="0.35">
      <c r="A41" s="9" t="s">
        <v>292</v>
      </c>
      <c r="B41" s="9"/>
      <c r="C41" s="9"/>
      <c r="D41" s="33">
        <f>MEDIAN(D35:D39)</f>
        <v>2.1</v>
      </c>
    </row>
    <row r="43" spans="1:4" ht="15" customHeight="1" x14ac:dyDescent="0.35">
      <c r="A43" s="10"/>
      <c r="B43" s="10"/>
      <c r="C43" s="10"/>
      <c r="D43" s="10"/>
    </row>
    <row r="44" spans="1:4" ht="15" customHeight="1" x14ac:dyDescent="0.35">
      <c r="A44" s="10"/>
      <c r="B44" s="10"/>
      <c r="C44" s="10"/>
      <c r="D44" s="10"/>
    </row>
    <row r="45" spans="1:4" ht="15" customHeight="1" x14ac:dyDescent="0.35">
      <c r="A45" s="10"/>
      <c r="B45" s="10"/>
      <c r="C45" s="10"/>
      <c r="D45" s="10"/>
    </row>
    <row r="46" spans="1:4" ht="15" customHeight="1" x14ac:dyDescent="0.35">
      <c r="A46" s="10"/>
      <c r="B46" s="10"/>
      <c r="C46" s="10"/>
      <c r="D46" s="10"/>
    </row>
    <row r="47" spans="1:4" ht="15" customHeight="1" x14ac:dyDescent="0.35">
      <c r="A47" s="10"/>
      <c r="B47" s="10"/>
      <c r="C47" s="10"/>
      <c r="D47" s="10"/>
    </row>
  </sheetData>
  <mergeCells count="37">
    <mergeCell ref="A41:C41"/>
    <mergeCell ref="A43:D47"/>
    <mergeCell ref="A36:C36"/>
    <mergeCell ref="A37:C37"/>
    <mergeCell ref="A38:C38"/>
    <mergeCell ref="A39:C39"/>
    <mergeCell ref="A40:C40"/>
    <mergeCell ref="A29:C29"/>
    <mergeCell ref="A30:C30"/>
    <mergeCell ref="A32:D32"/>
    <mergeCell ref="A34:C34"/>
    <mergeCell ref="A35:C35"/>
    <mergeCell ref="A24:C24"/>
    <mergeCell ref="A25:C25"/>
    <mergeCell ref="A26:C26"/>
    <mergeCell ref="A27:C27"/>
    <mergeCell ref="A28:C28"/>
    <mergeCell ref="A19:D19"/>
    <mergeCell ref="A20:C20"/>
    <mergeCell ref="A21:C21"/>
    <mergeCell ref="A22:C22"/>
    <mergeCell ref="A23:C23"/>
    <mergeCell ref="A12:C12"/>
    <mergeCell ref="A14:D14"/>
    <mergeCell ref="A15:C15"/>
    <mergeCell ref="A16:C16"/>
    <mergeCell ref="A17:C17"/>
    <mergeCell ref="A7:C7"/>
    <mergeCell ref="A8:C8"/>
    <mergeCell ref="A9:C9"/>
    <mergeCell ref="A10:C10"/>
    <mergeCell ref="A11:C11"/>
    <mergeCell ref="A1:D1"/>
    <mergeCell ref="A3:D3"/>
    <mergeCell ref="A4:C4"/>
    <mergeCell ref="A5:C5"/>
    <mergeCell ref="A6:C6"/>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showGridLines="0" zoomScaleNormal="100" workbookViewId="0">
      <selection activeCell="A15" sqref="A15:G16"/>
    </sheetView>
  </sheetViews>
  <sheetFormatPr defaultColWidth="8.6328125" defaultRowHeight="14.5" x14ac:dyDescent="0.35"/>
  <cols>
    <col min="1" max="1" width="20" customWidth="1"/>
    <col min="2" max="7" width="16" customWidth="1"/>
  </cols>
  <sheetData>
    <row r="1" spans="1:7" ht="27.75" customHeight="1" x14ac:dyDescent="0.35">
      <c r="A1" s="14" t="s">
        <v>293</v>
      </c>
      <c r="B1" s="14"/>
      <c r="C1" s="14"/>
      <c r="D1" s="14"/>
      <c r="E1" s="14"/>
      <c r="F1" s="14"/>
      <c r="G1" s="14"/>
    </row>
    <row r="2" spans="1:7" ht="30" customHeight="1" x14ac:dyDescent="0.35">
      <c r="A2" s="21" t="s">
        <v>51</v>
      </c>
      <c r="B2" s="21" t="s">
        <v>262</v>
      </c>
      <c r="C2" s="21" t="s">
        <v>264</v>
      </c>
      <c r="D2" s="21" t="s">
        <v>265</v>
      </c>
      <c r="E2" s="21" t="s">
        <v>266</v>
      </c>
      <c r="F2" s="21" t="s">
        <v>294</v>
      </c>
      <c r="G2" s="21" t="s">
        <v>57</v>
      </c>
    </row>
    <row r="3" spans="1:7" ht="15" customHeight="1" x14ac:dyDescent="0.35">
      <c r="A3" s="16" t="s">
        <v>63</v>
      </c>
      <c r="B3" s="22">
        <f>COUNTIF('Test Cases'!$B$3:$B$100,$A3)</f>
        <v>3</v>
      </c>
      <c r="C3" s="22">
        <f>COUNTIFS('Test Cases'!$B$3:$B$100,$A3,'Test Cases'!$H$3:$H$100,"Pass")</f>
        <v>3</v>
      </c>
      <c r="D3" s="22">
        <f>COUNTIFS('Test Cases'!$B$3:$B$100,$A3,'Test Cases'!$H$3:$H$100,"Fail")</f>
        <v>0</v>
      </c>
      <c r="E3" s="22">
        <f>COUNTIFS('Test Cases'!$B$3:$B$100,$A3,'Test Cases'!$H$3:$H$100,"Blocked")</f>
        <v>0</v>
      </c>
      <c r="F3" s="35">
        <f t="shared" ref="F3:F13" si="0">IFERROR(C3/B3,0)</f>
        <v>1</v>
      </c>
      <c r="G3" s="22" t="str">
        <f t="shared" ref="G3:G12" si="1">IF(B3=0,"N/A",IF(D3&gt;0,"Needs Attention","OK"))</f>
        <v>OK</v>
      </c>
    </row>
    <row r="4" spans="1:7" ht="15" customHeight="1" x14ac:dyDescent="0.35">
      <c r="A4" s="25" t="s">
        <v>84</v>
      </c>
      <c r="B4" s="24">
        <f>COUNTIF('Test Cases'!$B$3:$B$100,$A4)</f>
        <v>4</v>
      </c>
      <c r="C4" s="24">
        <f>COUNTIFS('Test Cases'!$B$3:$B$100,$A4,'Test Cases'!$H$3:$H$100,"Pass")</f>
        <v>3</v>
      </c>
      <c r="D4" s="24">
        <f>COUNTIFS('Test Cases'!$B$3:$B$100,$A4,'Test Cases'!$H$3:$H$100,"Fail")</f>
        <v>1</v>
      </c>
      <c r="E4" s="24">
        <f>COUNTIFS('Test Cases'!$B$3:$B$100,$A4,'Test Cases'!$H$3:$H$100,"Blocked")</f>
        <v>0</v>
      </c>
      <c r="F4" s="36">
        <f t="shared" si="0"/>
        <v>0.75</v>
      </c>
      <c r="G4" s="24" t="str">
        <f t="shared" si="1"/>
        <v>Needs Attention</v>
      </c>
    </row>
    <row r="5" spans="1:7" ht="15" customHeight="1" x14ac:dyDescent="0.35">
      <c r="A5" s="16" t="s">
        <v>110</v>
      </c>
      <c r="B5" s="22">
        <f>COUNTIF('Test Cases'!$B$3:$B$100,$A5)</f>
        <v>3</v>
      </c>
      <c r="C5" s="22">
        <f>COUNTIFS('Test Cases'!$B$3:$B$100,$A5,'Test Cases'!$H$3:$H$100,"Pass")</f>
        <v>3</v>
      </c>
      <c r="D5" s="22">
        <f>COUNTIFS('Test Cases'!$B$3:$B$100,$A5,'Test Cases'!$H$3:$H$100,"Fail")</f>
        <v>0</v>
      </c>
      <c r="E5" s="22">
        <f>COUNTIFS('Test Cases'!$B$3:$B$100,$A5,'Test Cases'!$H$3:$H$100,"Blocked")</f>
        <v>0</v>
      </c>
      <c r="F5" s="35">
        <f t="shared" si="0"/>
        <v>1</v>
      </c>
      <c r="G5" s="22" t="str">
        <f t="shared" si="1"/>
        <v>OK</v>
      </c>
    </row>
    <row r="6" spans="1:7" ht="15" customHeight="1" x14ac:dyDescent="0.35">
      <c r="A6" s="25" t="s">
        <v>126</v>
      </c>
      <c r="B6" s="24">
        <f>COUNTIF('Test Cases'!$B$3:$B$100,$A6)</f>
        <v>4</v>
      </c>
      <c r="C6" s="24">
        <f>COUNTIFS('Test Cases'!$B$3:$B$100,$A6,'Test Cases'!$H$3:$H$100,"Pass")</f>
        <v>3</v>
      </c>
      <c r="D6" s="24">
        <f>COUNTIFS('Test Cases'!$B$3:$B$100,$A6,'Test Cases'!$H$3:$H$100,"Fail")</f>
        <v>1</v>
      </c>
      <c r="E6" s="24">
        <f>COUNTIFS('Test Cases'!$B$3:$B$100,$A6,'Test Cases'!$H$3:$H$100,"Blocked")</f>
        <v>0</v>
      </c>
      <c r="F6" s="36">
        <f t="shared" si="0"/>
        <v>0.75</v>
      </c>
      <c r="G6" s="24" t="str">
        <f t="shared" si="1"/>
        <v>Needs Attention</v>
      </c>
    </row>
    <row r="7" spans="1:7" ht="15" customHeight="1" x14ac:dyDescent="0.35">
      <c r="A7" s="16" t="s">
        <v>149</v>
      </c>
      <c r="B7" s="22">
        <f>COUNTIF('Test Cases'!$B$3:$B$100,$A7)</f>
        <v>3</v>
      </c>
      <c r="C7" s="22">
        <f>COUNTIFS('Test Cases'!$B$3:$B$100,$A7,'Test Cases'!$H$3:$H$100,"Pass")</f>
        <v>3</v>
      </c>
      <c r="D7" s="22">
        <f>COUNTIFS('Test Cases'!$B$3:$B$100,$A7,'Test Cases'!$H$3:$H$100,"Fail")</f>
        <v>0</v>
      </c>
      <c r="E7" s="22">
        <f>COUNTIFS('Test Cases'!$B$3:$B$100,$A7,'Test Cases'!$H$3:$H$100,"Blocked")</f>
        <v>0</v>
      </c>
      <c r="F7" s="35">
        <f t="shared" si="0"/>
        <v>1</v>
      </c>
      <c r="G7" s="22" t="str">
        <f t="shared" si="1"/>
        <v>OK</v>
      </c>
    </row>
    <row r="8" spans="1:7" ht="15" customHeight="1" x14ac:dyDescent="0.35">
      <c r="A8" s="25" t="s">
        <v>167</v>
      </c>
      <c r="B8" s="24">
        <f>COUNTIF('Test Cases'!$B$3:$B$100,$A8)</f>
        <v>3</v>
      </c>
      <c r="C8" s="24">
        <f>COUNTIFS('Test Cases'!$B$3:$B$100,$A8,'Test Cases'!$H$3:$H$100,"Pass")</f>
        <v>3</v>
      </c>
      <c r="D8" s="24">
        <f>COUNTIFS('Test Cases'!$B$3:$B$100,$A8,'Test Cases'!$H$3:$H$100,"Fail")</f>
        <v>0</v>
      </c>
      <c r="E8" s="24">
        <f>COUNTIFS('Test Cases'!$B$3:$B$100,$A8,'Test Cases'!$H$3:$H$100,"Blocked")</f>
        <v>0</v>
      </c>
      <c r="F8" s="36">
        <f t="shared" si="0"/>
        <v>1</v>
      </c>
      <c r="G8" s="24" t="str">
        <f t="shared" si="1"/>
        <v>OK</v>
      </c>
    </row>
    <row r="9" spans="1:7" ht="15" customHeight="1" x14ac:dyDescent="0.35">
      <c r="A9" s="16" t="s">
        <v>183</v>
      </c>
      <c r="B9" s="22">
        <f>COUNTIF('Test Cases'!$B$3:$B$100,$A9)</f>
        <v>2</v>
      </c>
      <c r="C9" s="22">
        <f>COUNTIFS('Test Cases'!$B$3:$B$100,$A9,'Test Cases'!$H$3:$H$100,"Pass")</f>
        <v>2</v>
      </c>
      <c r="D9" s="22">
        <f>COUNTIFS('Test Cases'!$B$3:$B$100,$A9,'Test Cases'!$H$3:$H$100,"Fail")</f>
        <v>0</v>
      </c>
      <c r="E9" s="22">
        <f>COUNTIFS('Test Cases'!$B$3:$B$100,$A9,'Test Cases'!$H$3:$H$100,"Blocked")</f>
        <v>0</v>
      </c>
      <c r="F9" s="35">
        <f t="shared" si="0"/>
        <v>1</v>
      </c>
      <c r="G9" s="22" t="str">
        <f t="shared" si="1"/>
        <v>OK</v>
      </c>
    </row>
    <row r="10" spans="1:7" ht="15" customHeight="1" x14ac:dyDescent="0.35">
      <c r="A10" s="25" t="s">
        <v>195</v>
      </c>
      <c r="B10" s="24">
        <f>COUNTIF('Test Cases'!$B$3:$B$100,$A10)</f>
        <v>4</v>
      </c>
      <c r="C10" s="24">
        <f>COUNTIFS('Test Cases'!$B$3:$B$100,$A10,'Test Cases'!$H$3:$H$100,"Pass")</f>
        <v>3</v>
      </c>
      <c r="D10" s="24">
        <f>COUNTIFS('Test Cases'!$B$3:$B$100,$A10,'Test Cases'!$H$3:$H$100,"Fail")</f>
        <v>1</v>
      </c>
      <c r="E10" s="24">
        <f>COUNTIFS('Test Cases'!$B$3:$B$100,$A10,'Test Cases'!$H$3:$H$100,"Blocked")</f>
        <v>0</v>
      </c>
      <c r="F10" s="36">
        <f t="shared" si="0"/>
        <v>0.75</v>
      </c>
      <c r="G10" s="24" t="str">
        <f t="shared" si="1"/>
        <v>Needs Attention</v>
      </c>
    </row>
    <row r="11" spans="1:7" ht="15" customHeight="1" x14ac:dyDescent="0.35">
      <c r="A11" s="16" t="s">
        <v>217</v>
      </c>
      <c r="B11" s="22">
        <f>COUNTIF('Test Cases'!$B$3:$B$100,$A11)</f>
        <v>2</v>
      </c>
      <c r="C11" s="22">
        <f>COUNTIFS('Test Cases'!$B$3:$B$100,$A11,'Test Cases'!$H$3:$H$100,"Pass")</f>
        <v>2</v>
      </c>
      <c r="D11" s="22">
        <f>COUNTIFS('Test Cases'!$B$3:$B$100,$A11,'Test Cases'!$H$3:$H$100,"Fail")</f>
        <v>0</v>
      </c>
      <c r="E11" s="22">
        <f>COUNTIFS('Test Cases'!$B$3:$B$100,$A11,'Test Cases'!$H$3:$H$100,"Blocked")</f>
        <v>0</v>
      </c>
      <c r="F11" s="35">
        <f t="shared" si="0"/>
        <v>1</v>
      </c>
      <c r="G11" s="22" t="str">
        <f t="shared" si="1"/>
        <v>OK</v>
      </c>
    </row>
    <row r="12" spans="1:7" ht="15" customHeight="1" x14ac:dyDescent="0.35">
      <c r="A12" s="25" t="s">
        <v>229</v>
      </c>
      <c r="B12" s="24">
        <f>COUNTIF('Test Cases'!$B$3:$B$100,$A12)</f>
        <v>2</v>
      </c>
      <c r="C12" s="24">
        <f>COUNTIFS('Test Cases'!$B$3:$B$100,$A12,'Test Cases'!$H$3:$H$100,"Pass")</f>
        <v>2</v>
      </c>
      <c r="D12" s="24">
        <f>COUNTIFS('Test Cases'!$B$3:$B$100,$A12,'Test Cases'!$H$3:$H$100,"Fail")</f>
        <v>0</v>
      </c>
      <c r="E12" s="24">
        <f>COUNTIFS('Test Cases'!$B$3:$B$100,$A12,'Test Cases'!$H$3:$H$100,"Blocked")</f>
        <v>0</v>
      </c>
      <c r="F12" s="36">
        <f t="shared" si="0"/>
        <v>1</v>
      </c>
      <c r="G12" s="24" t="str">
        <f t="shared" si="1"/>
        <v>OK</v>
      </c>
    </row>
    <row r="13" spans="1:7" ht="15" customHeight="1" x14ac:dyDescent="0.35">
      <c r="A13" s="37" t="s">
        <v>295</v>
      </c>
      <c r="B13" s="38">
        <f>SUM(B3:B12)</f>
        <v>30</v>
      </c>
      <c r="C13" s="38">
        <f>SUM(C3:C12)</f>
        <v>27</v>
      </c>
      <c r="D13" s="38">
        <f>SUM(D3:D12)</f>
        <v>3</v>
      </c>
      <c r="E13" s="38">
        <f>SUM(E3:E12)</f>
        <v>0</v>
      </c>
      <c r="F13" s="39">
        <f t="shared" si="0"/>
        <v>0.9</v>
      </c>
      <c r="G13" s="40"/>
    </row>
    <row r="15" spans="1:7" ht="15" customHeight="1" x14ac:dyDescent="0.35">
      <c r="A15" s="6"/>
      <c r="B15" s="6"/>
      <c r="C15" s="6"/>
      <c r="D15" s="6"/>
      <c r="E15" s="6"/>
      <c r="F15" s="6"/>
      <c r="G15" s="6"/>
    </row>
    <row r="16" spans="1:7" ht="15" customHeight="1" x14ac:dyDescent="0.35">
      <c r="A16" s="6"/>
      <c r="B16" s="6"/>
      <c r="C16" s="6"/>
      <c r="D16" s="6"/>
      <c r="E16" s="6"/>
      <c r="F16" s="6"/>
      <c r="G16" s="6"/>
    </row>
  </sheetData>
  <mergeCells count="2">
    <mergeCell ref="A1:G1"/>
    <mergeCell ref="A15:G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3"/>
  <sheetViews>
    <sheetView showGridLines="0" tabSelected="1" zoomScaleNormal="100" workbookViewId="0">
      <selection activeCell="C4" sqref="C4:D4"/>
    </sheetView>
  </sheetViews>
  <sheetFormatPr defaultColWidth="8.6328125" defaultRowHeight="14.5" x14ac:dyDescent="0.35"/>
  <cols>
    <col min="1" max="12" width="9.54296875" customWidth="1"/>
  </cols>
  <sheetData>
    <row r="1" spans="1:12" ht="30" customHeight="1" x14ac:dyDescent="0.35">
      <c r="A1" s="14" t="s">
        <v>296</v>
      </c>
      <c r="B1" s="14"/>
      <c r="C1" s="14"/>
      <c r="D1" s="14"/>
      <c r="E1" s="14"/>
      <c r="F1" s="14"/>
      <c r="G1" s="14"/>
      <c r="H1" s="14"/>
      <c r="I1" s="14"/>
      <c r="J1" s="14"/>
      <c r="K1" s="14"/>
      <c r="L1" s="14"/>
    </row>
    <row r="3" spans="1:12" ht="15" customHeight="1" x14ac:dyDescent="0.35">
      <c r="A3" s="5" t="s">
        <v>262</v>
      </c>
      <c r="B3" s="5"/>
      <c r="C3" s="5" t="s">
        <v>294</v>
      </c>
      <c r="D3" s="5"/>
      <c r="E3" s="5" t="s">
        <v>297</v>
      </c>
      <c r="F3" s="5"/>
      <c r="G3" s="5" t="s">
        <v>298</v>
      </c>
      <c r="H3" s="5"/>
      <c r="I3" s="5" t="s">
        <v>277</v>
      </c>
      <c r="J3" s="5"/>
      <c r="K3" s="5" t="s">
        <v>299</v>
      </c>
      <c r="L3" s="5"/>
    </row>
    <row r="4" spans="1:12" ht="33.75" customHeight="1" x14ac:dyDescent="0.35">
      <c r="A4" s="4">
        <f>'Test Metrics'!D4</f>
        <v>30</v>
      </c>
      <c r="B4" s="4"/>
      <c r="C4" s="3">
        <f>'Test Metrics'!D11</f>
        <v>0.9</v>
      </c>
      <c r="D4" s="3"/>
      <c r="E4" s="3">
        <f>'Test Metrics'!D12</f>
        <v>0.1</v>
      </c>
      <c r="F4" s="3"/>
      <c r="G4" s="4">
        <f>'Test Metrics'!D20</f>
        <v>2</v>
      </c>
      <c r="H4" s="4"/>
      <c r="I4" s="4">
        <f>'Test Metrics'!D21</f>
        <v>2</v>
      </c>
      <c r="J4" s="4"/>
      <c r="K4" s="3">
        <f>'Test Metrics'!D23</f>
        <v>0</v>
      </c>
      <c r="L4" s="3"/>
    </row>
    <row r="7" spans="1:12" ht="15" customHeight="1" x14ac:dyDescent="0.35">
      <c r="A7" s="41" t="s">
        <v>57</v>
      </c>
      <c r="B7" s="41" t="s">
        <v>300</v>
      </c>
    </row>
    <row r="8" spans="1:12" ht="15" customHeight="1" x14ac:dyDescent="0.35">
      <c r="A8" s="42" t="s">
        <v>69</v>
      </c>
      <c r="B8" s="42">
        <f>'Test Metrics'!D6</f>
        <v>27</v>
      </c>
    </row>
    <row r="9" spans="1:12" ht="15" customHeight="1" x14ac:dyDescent="0.35">
      <c r="A9" s="42" t="s">
        <v>108</v>
      </c>
      <c r="B9" s="42">
        <f>'Test Metrics'!D7</f>
        <v>3</v>
      </c>
    </row>
    <row r="10" spans="1:12" ht="15" customHeight="1" x14ac:dyDescent="0.35">
      <c r="A10" s="42" t="s">
        <v>266</v>
      </c>
      <c r="B10" s="42">
        <f>'Test Metrics'!D8</f>
        <v>0</v>
      </c>
    </row>
    <row r="12" spans="1:12" ht="15" customHeight="1" x14ac:dyDescent="0.35">
      <c r="A12" s="41" t="s">
        <v>58</v>
      </c>
      <c r="B12" s="41" t="s">
        <v>300</v>
      </c>
    </row>
    <row r="13" spans="1:12" ht="15" customHeight="1" x14ac:dyDescent="0.35">
      <c r="A13" s="42" t="s">
        <v>301</v>
      </c>
      <c r="B13" s="42">
        <f>'Test Metrics'!D24</f>
        <v>0</v>
      </c>
    </row>
    <row r="14" spans="1:12" ht="15" customHeight="1" x14ac:dyDescent="0.35">
      <c r="A14" s="42" t="s">
        <v>71</v>
      </c>
      <c r="B14" s="42">
        <f>'Test Metrics'!D25</f>
        <v>2</v>
      </c>
    </row>
    <row r="15" spans="1:12" ht="15" customHeight="1" x14ac:dyDescent="0.35">
      <c r="A15" s="42" t="s">
        <v>77</v>
      </c>
      <c r="B15" s="42">
        <f>'Test Metrics'!D26</f>
        <v>0</v>
      </c>
    </row>
    <row r="16" spans="1:12" ht="15" customHeight="1" x14ac:dyDescent="0.35">
      <c r="A16" s="42" t="s">
        <v>70</v>
      </c>
      <c r="B16" s="42">
        <f>'Test Metrics'!D27</f>
        <v>0</v>
      </c>
    </row>
    <row r="52" spans="1:12" ht="15" customHeight="1" x14ac:dyDescent="0.35">
      <c r="A52" s="8"/>
      <c r="B52" s="8"/>
      <c r="C52" s="8"/>
      <c r="D52" s="8"/>
      <c r="E52" s="8"/>
      <c r="F52" s="8"/>
      <c r="G52" s="8"/>
      <c r="H52" s="8"/>
      <c r="I52" s="8"/>
      <c r="J52" s="8"/>
      <c r="K52" s="8"/>
      <c r="L52" s="8"/>
    </row>
    <row r="53" spans="1:12" ht="15" customHeight="1" x14ac:dyDescent="0.35">
      <c r="A53" s="8"/>
      <c r="B53" s="8"/>
      <c r="C53" s="8"/>
      <c r="D53" s="8"/>
      <c r="E53" s="8"/>
      <c r="F53" s="8"/>
      <c r="G53" s="8"/>
      <c r="H53" s="8"/>
      <c r="I53" s="8"/>
      <c r="J53" s="8"/>
      <c r="K53" s="8"/>
      <c r="L53" s="8"/>
    </row>
  </sheetData>
  <mergeCells count="14">
    <mergeCell ref="K4:L4"/>
    <mergeCell ref="A52:L53"/>
    <mergeCell ref="A4:B4"/>
    <mergeCell ref="C4:D4"/>
    <mergeCell ref="E4:F4"/>
    <mergeCell ref="G4:H4"/>
    <mergeCell ref="I4:J4"/>
    <mergeCell ref="A1:L1"/>
    <mergeCell ref="A3:B3"/>
    <mergeCell ref="C3:D3"/>
    <mergeCell ref="E3:F3"/>
    <mergeCell ref="G3:H3"/>
    <mergeCell ref="I3:J3"/>
    <mergeCell ref="K3:L3"/>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5"/>
  <sheetViews>
    <sheetView showGridLines="0" zoomScaleNormal="100" workbookViewId="0">
      <selection sqref="A1:B1"/>
    </sheetView>
  </sheetViews>
  <sheetFormatPr defaultColWidth="8.6328125" defaultRowHeight="14.5" x14ac:dyDescent="0.35"/>
  <cols>
    <col min="1" max="1" width="26" customWidth="1"/>
    <col min="2" max="2" width="62" customWidth="1"/>
  </cols>
  <sheetData>
    <row r="1" spans="1:2" ht="27.75" customHeight="1" x14ac:dyDescent="0.35">
      <c r="A1" s="14" t="s">
        <v>302</v>
      </c>
      <c r="B1" s="14"/>
    </row>
    <row r="3" spans="1:2" ht="19.5" customHeight="1" x14ac:dyDescent="0.35">
      <c r="A3" s="13" t="s">
        <v>303</v>
      </c>
      <c r="B3" s="13"/>
    </row>
    <row r="4" spans="1:2" ht="30" customHeight="1" x14ac:dyDescent="0.35">
      <c r="A4" s="43" t="s">
        <v>304</v>
      </c>
      <c r="B4" s="17" t="s">
        <v>305</v>
      </c>
    </row>
    <row r="5" spans="1:2" ht="30" customHeight="1" x14ac:dyDescent="0.35">
      <c r="A5" s="44" t="s">
        <v>306</v>
      </c>
      <c r="B5" s="17" t="s">
        <v>307</v>
      </c>
    </row>
    <row r="6" spans="1:2" ht="30" customHeight="1" x14ac:dyDescent="0.35">
      <c r="A6" s="43" t="s">
        <v>308</v>
      </c>
      <c r="B6" s="17" t="s">
        <v>309</v>
      </c>
    </row>
    <row r="7" spans="1:2" ht="30" customHeight="1" x14ac:dyDescent="0.35">
      <c r="A7" s="44" t="s">
        <v>310</v>
      </c>
      <c r="B7" s="17" t="s">
        <v>311</v>
      </c>
    </row>
    <row r="8" spans="1:2" ht="30" customHeight="1" x14ac:dyDescent="0.35">
      <c r="A8" s="43" t="s">
        <v>312</v>
      </c>
      <c r="B8" s="17" t="s">
        <v>313</v>
      </c>
    </row>
    <row r="9" spans="1:2" ht="30" customHeight="1" x14ac:dyDescent="0.35">
      <c r="A9" s="44" t="s">
        <v>314</v>
      </c>
      <c r="B9" s="17" t="s">
        <v>315</v>
      </c>
    </row>
    <row r="10" spans="1:2" ht="30" customHeight="1" x14ac:dyDescent="0.35">
      <c r="A10" s="43" t="s">
        <v>316</v>
      </c>
      <c r="B10" s="17" t="s">
        <v>317</v>
      </c>
    </row>
    <row r="11" spans="1:2" ht="30" customHeight="1" x14ac:dyDescent="0.35">
      <c r="A11" s="44" t="s">
        <v>318</v>
      </c>
      <c r="B11" s="17" t="s">
        <v>319</v>
      </c>
    </row>
    <row r="13" spans="1:2" ht="19.5" customHeight="1" x14ac:dyDescent="0.35">
      <c r="A13" s="13" t="s">
        <v>320</v>
      </c>
      <c r="B13" s="13"/>
    </row>
    <row r="14" spans="1:2" ht="15" customHeight="1" x14ac:dyDescent="0.35">
      <c r="A14" s="21" t="s">
        <v>321</v>
      </c>
      <c r="B14" s="21" t="s">
        <v>322</v>
      </c>
    </row>
    <row r="15" spans="1:2" ht="15" customHeight="1" x14ac:dyDescent="0.35">
      <c r="A15" s="16" t="s">
        <v>323</v>
      </c>
      <c r="B15" s="16" t="s">
        <v>324</v>
      </c>
    </row>
    <row r="16" spans="1:2" ht="15" customHeight="1" x14ac:dyDescent="0.35">
      <c r="A16" s="25" t="s">
        <v>325</v>
      </c>
      <c r="B16" s="25" t="s">
        <v>326</v>
      </c>
    </row>
    <row r="17" spans="1:2" ht="15" customHeight="1" x14ac:dyDescent="0.35">
      <c r="A17" s="16" t="s">
        <v>294</v>
      </c>
      <c r="B17" s="16" t="s">
        <v>327</v>
      </c>
    </row>
    <row r="18" spans="1:2" ht="15" customHeight="1" x14ac:dyDescent="0.35">
      <c r="A18" s="25" t="s">
        <v>297</v>
      </c>
      <c r="B18" s="25" t="s">
        <v>328</v>
      </c>
    </row>
    <row r="19" spans="1:2" ht="15" customHeight="1" x14ac:dyDescent="0.35">
      <c r="A19" s="16" t="s">
        <v>329</v>
      </c>
      <c r="B19" s="16" t="s">
        <v>330</v>
      </c>
    </row>
    <row r="20" spans="1:2" ht="15" customHeight="1" x14ac:dyDescent="0.35">
      <c r="A20" s="25" t="s">
        <v>299</v>
      </c>
      <c r="B20" s="25" t="s">
        <v>331</v>
      </c>
    </row>
    <row r="21" spans="1:2" ht="15" customHeight="1" x14ac:dyDescent="0.35">
      <c r="A21" s="16" t="s">
        <v>332</v>
      </c>
      <c r="B21" s="16" t="s">
        <v>333</v>
      </c>
    </row>
    <row r="22" spans="1:2" ht="15" customHeight="1" x14ac:dyDescent="0.35">
      <c r="A22" s="25" t="s">
        <v>334</v>
      </c>
      <c r="B22" s="25" t="s">
        <v>335</v>
      </c>
    </row>
    <row r="23" spans="1:2" ht="15" customHeight="1" x14ac:dyDescent="0.35">
      <c r="A23" s="16" t="s">
        <v>336</v>
      </c>
      <c r="B23" s="16" t="s">
        <v>337</v>
      </c>
    </row>
    <row r="25" spans="1:2" ht="19.5" customHeight="1" x14ac:dyDescent="0.35">
      <c r="A25" s="13" t="s">
        <v>338</v>
      </c>
      <c r="B25" s="13"/>
    </row>
    <row r="26" spans="1:2" ht="15" customHeight="1" x14ac:dyDescent="0.35">
      <c r="A26" s="2" t="s">
        <v>339</v>
      </c>
      <c r="B26" s="2"/>
    </row>
    <row r="27" spans="1:2" ht="15" customHeight="1" x14ac:dyDescent="0.35">
      <c r="A27" s="2" t="s">
        <v>340</v>
      </c>
      <c r="B27" s="2"/>
    </row>
    <row r="28" spans="1:2" ht="15" customHeight="1" x14ac:dyDescent="0.35">
      <c r="A28" s="2" t="s">
        <v>341</v>
      </c>
      <c r="B28" s="2"/>
    </row>
    <row r="30" spans="1:2" ht="19.5" customHeight="1" x14ac:dyDescent="0.35">
      <c r="A30" s="13" t="s">
        <v>342</v>
      </c>
      <c r="B30" s="13"/>
    </row>
    <row r="31" spans="1:2" ht="27.75" customHeight="1" x14ac:dyDescent="0.35">
      <c r="A31" s="1" t="s">
        <v>343</v>
      </c>
      <c r="B31" s="1"/>
    </row>
    <row r="32" spans="1:2" ht="27.75" customHeight="1" x14ac:dyDescent="0.35">
      <c r="A32" s="1" t="s">
        <v>344</v>
      </c>
      <c r="B32" s="1"/>
    </row>
    <row r="33" spans="1:2" ht="27.75" customHeight="1" x14ac:dyDescent="0.35">
      <c r="A33" s="1" t="s">
        <v>345</v>
      </c>
      <c r="B33" s="1"/>
    </row>
    <row r="34" spans="1:2" ht="27.75" customHeight="1" x14ac:dyDescent="0.35">
      <c r="A34" s="1" t="s">
        <v>346</v>
      </c>
      <c r="B34" s="1"/>
    </row>
    <row r="35" spans="1:2" ht="27.75" customHeight="1" x14ac:dyDescent="0.35">
      <c r="A35" s="1" t="s">
        <v>347</v>
      </c>
      <c r="B35" s="1"/>
    </row>
  </sheetData>
  <mergeCells count="13">
    <mergeCell ref="A33:B33"/>
    <mergeCell ref="A34:B34"/>
    <mergeCell ref="A35:B35"/>
    <mergeCell ref="A27:B27"/>
    <mergeCell ref="A28:B28"/>
    <mergeCell ref="A30:B30"/>
    <mergeCell ref="A31:B31"/>
    <mergeCell ref="A32:B32"/>
    <mergeCell ref="A1:B1"/>
    <mergeCell ref="A3:B3"/>
    <mergeCell ref="A13:B13"/>
    <mergeCell ref="A25:B25"/>
    <mergeCell ref="A26:B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Overview</vt:lpstr>
      <vt:lpstr>Test Cases</vt:lpstr>
      <vt:lpstr>Defect Log</vt:lpstr>
      <vt:lpstr>Test Metrics</vt:lpstr>
      <vt:lpstr>Feature-wise Analysis</vt:lpstr>
      <vt:lpstr>Dashboard</vt:lpstr>
      <vt:lpstr>Analysis Process &amp;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oviya p</cp:lastModifiedBy>
  <cp:revision>3</cp:revision>
  <dcterms:created xsi:type="dcterms:W3CDTF">2026-09-24T05:45:56Z</dcterms:created>
  <dcterms:modified xsi:type="dcterms:W3CDTF">2026-09-24T08:44:11Z</dcterms:modified>
  <dc:language>en-US</dc:language>
</cp:coreProperties>
</file>